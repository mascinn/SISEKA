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ntin Al-Wasii(Bude Eni)" sheetId="1" r:id="rId5"/>
    <sheet state="visible" name="Kantin Kurnia (Bude Ghina)" sheetId="2" r:id="rId6"/>
    <sheet state="visible" name="Fotocopy Aleaf.com (Mas Budi)" sheetId="3" r:id="rId7"/>
    <sheet state="visible" name="Fotocopy Bias.com (Mas Ipul)" sheetId="4" r:id="rId8"/>
    <sheet state="visible" name="Warung Om Ferry" sheetId="5" r:id="rId9"/>
  </sheets>
  <definedNames/>
  <calcPr/>
</workbook>
</file>

<file path=xl/sharedStrings.xml><?xml version="1.0" encoding="utf-8"?>
<sst xmlns="http://schemas.openxmlformats.org/spreadsheetml/2006/main" count="1780" uniqueCount="45">
  <si>
    <t>KANTIN AL WASII(BUDE ENI)</t>
  </si>
  <si>
    <t>Sewa Perbulan</t>
  </si>
  <si>
    <t>Rekap Bulanan dan Keterangan Sewa Per Bulan</t>
  </si>
  <si>
    <t>KANTIN KURNIA (BUDE GHINA)</t>
  </si>
  <si>
    <t>Fotocopy Aleaf.com (Mas Budi)</t>
  </si>
  <si>
    <t>Fotocopy Bias.com (Mas Ipul)</t>
  </si>
  <si>
    <t>No.</t>
  </si>
  <si>
    <t>Bulan</t>
  </si>
  <si>
    <t>Jumlah Tagihan (Bulan)</t>
  </si>
  <si>
    <t>Setoran</t>
  </si>
  <si>
    <t>Saldo</t>
  </si>
  <si>
    <t>Keterangan</t>
  </si>
  <si>
    <t>Jumlah</t>
  </si>
  <si>
    <t>Rekap Setoran Harian</t>
  </si>
  <si>
    <t>JANUARI</t>
  </si>
  <si>
    <t>FEBRUARI</t>
  </si>
  <si>
    <t>MARET</t>
  </si>
  <si>
    <t>Hari/Tanggal</t>
  </si>
  <si>
    <t>Setoran Kamis</t>
  </si>
  <si>
    <t>Setoran Senin</t>
  </si>
  <si>
    <t>Setoran Jum'at</t>
  </si>
  <si>
    <t>Setoran Selasa</t>
  </si>
  <si>
    <t>Setoran Rabu</t>
  </si>
  <si>
    <t>Total Setoran Bulan Februari</t>
  </si>
  <si>
    <t>Total Setoran Bulan Januari</t>
  </si>
  <si>
    <t>Total Setoran Bulan Maret</t>
  </si>
  <si>
    <t>APRIL</t>
  </si>
  <si>
    <t>MEI</t>
  </si>
  <si>
    <t>JUNI</t>
  </si>
  <si>
    <t>Total Setoran Bulan Mei</t>
  </si>
  <si>
    <t>Total Setoran Bulan April</t>
  </si>
  <si>
    <t>Total Setoran Bulan Juni</t>
  </si>
  <si>
    <t>JULI</t>
  </si>
  <si>
    <t>AGUSTUS</t>
  </si>
  <si>
    <t>SEPTEMBER</t>
  </si>
  <si>
    <t>Total Setoran Bulan Agustus</t>
  </si>
  <si>
    <t>Total Setoran Bulan September</t>
  </si>
  <si>
    <t>Total Setoran Bulan Juli</t>
  </si>
  <si>
    <t>OKTOBER</t>
  </si>
  <si>
    <t>NOVEMBER</t>
  </si>
  <si>
    <t>DESEMBER</t>
  </si>
  <si>
    <t>Total Setoran Bulan November</t>
  </si>
  <si>
    <t>Total Setoran Bulan Oktober</t>
  </si>
  <si>
    <t>Total Setoran Bulan Desember</t>
  </si>
  <si>
    <t>Warung Om Ferry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</si>
</sst>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p]#,##0"/>
    <numFmt numFmtId="165" formatCode="mmmm yyyy"/>
    <numFmt numFmtId="166" formatCode="dddd&quot;, &quot;dd&quot; &quot;mmm&quot; &quot;yyyy"/>
    <numFmt numFmtId="167" formatCode="dddd, dd mmm yyyy"/>
    <numFmt numFmtId="168" formatCode="dddd, d mmm yyyy"/>
  </numFmts>
  <fonts count="9">
    <font>
      <sz val="10.0"/>
      <color rgb="FF000000"/>
      <name val="Arial"/>
      <scheme val="minor"/>
    </font>
    <font>
      <b/>
      <sz val="32.0"/>
      <color theme="1"/>
      <name val="Arial"/>
      <scheme val="minor"/>
    </font>
    <font>
      <b/>
      <sz val="24.0"/>
      <color theme="1"/>
      <name val="Arial"/>
      <scheme val="minor"/>
    </font>
    <font>
      <b/>
      <sz val="16.0"/>
      <color theme="1"/>
      <name val="Arial"/>
      <scheme val="minor"/>
    </font>
    <font>
      <sz val="16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left" readingOrder="0" vertical="center"/>
    </xf>
    <xf borderId="0" fillId="2" fontId="5" numFmtId="0" xfId="0" applyAlignment="1" applyFill="1" applyFont="1">
      <alignment horizontal="center" readingOrder="0" vertical="center"/>
    </xf>
    <xf borderId="0" fillId="2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/>
    </xf>
    <xf borderId="0" fillId="0" fontId="6" numFmtId="165" xfId="0" applyAlignment="1" applyFont="1" applyNumberFormat="1">
      <alignment horizontal="left" readingOrder="0"/>
    </xf>
    <xf borderId="0" fillId="0" fontId="6" numFmtId="164" xfId="0" applyAlignment="1" applyFont="1" applyNumberFormat="1">
      <alignment horizontal="left"/>
    </xf>
    <xf borderId="0" fillId="0" fontId="6" numFmtId="164" xfId="0" applyAlignment="1" applyFont="1" applyNumberFormat="1">
      <alignment horizontal="left" readingOrder="0"/>
    </xf>
    <xf borderId="0" fillId="0" fontId="6" numFmtId="0" xfId="0" applyAlignment="1" applyFont="1">
      <alignment horizontal="left"/>
    </xf>
    <xf borderId="0" fillId="2" fontId="5" numFmtId="0" xfId="0" applyAlignment="1" applyFont="1">
      <alignment horizontal="center" readingOrder="0"/>
    </xf>
    <xf borderId="0" fillId="2" fontId="5" numFmtId="164" xfId="0" applyAlignment="1" applyFont="1" applyNumberFormat="1">
      <alignment horizontal="center"/>
    </xf>
    <xf borderId="0" fillId="2" fontId="5" numFmtId="164" xfId="0" applyAlignment="1" applyFont="1" applyNumberFormat="1">
      <alignment horizontal="center" readingOrder="0"/>
    </xf>
    <xf borderId="0" fillId="2" fontId="5" numFmtId="0" xfId="0" applyAlignment="1" applyFont="1">
      <alignment horizontal="center"/>
    </xf>
    <xf borderId="0" fillId="0" fontId="2" numFmtId="0" xfId="0" applyAlignment="1" applyFont="1">
      <alignment horizontal="center" readingOrder="0" vertical="center"/>
    </xf>
    <xf borderId="0" fillId="3" fontId="7" numFmtId="0" xfId="0" applyAlignment="1" applyFill="1" applyFont="1">
      <alignment horizontal="center" readingOrder="0" vertical="center"/>
    </xf>
    <xf borderId="0" fillId="2" fontId="6" numFmtId="0" xfId="0" applyAlignment="1" applyFont="1">
      <alignment horizontal="center" readingOrder="0"/>
    </xf>
    <xf borderId="0" fillId="0" fontId="6" numFmtId="166" xfId="0" applyAlignment="1" applyFont="1" applyNumberFormat="1">
      <alignment horizontal="left" readingOrder="0"/>
    </xf>
    <xf borderId="0" fillId="0" fontId="6" numFmtId="164" xfId="0" applyAlignment="1" applyFont="1" applyNumberFormat="1">
      <alignment horizontal="left" readingOrder="0"/>
    </xf>
    <xf borderId="0" fillId="0" fontId="8" numFmtId="0" xfId="0" applyAlignment="1" applyFont="1">
      <alignment vertical="bottom"/>
    </xf>
    <xf borderId="0" fillId="2" fontId="5" numFmtId="164" xfId="0" applyAlignment="1" applyFont="1" applyNumberFormat="1">
      <alignment horizontal="center"/>
    </xf>
    <xf borderId="0" fillId="0" fontId="8" numFmtId="0" xfId="0" applyAlignment="1" applyFont="1">
      <alignment horizontal="left" vertical="bottom"/>
    </xf>
    <xf borderId="0" fillId="0" fontId="6" numFmtId="164" xfId="0" applyAlignment="1" applyFont="1" applyNumberFormat="1">
      <alignment horizontal="left"/>
    </xf>
    <xf borderId="0" fillId="2" fontId="5" numFmtId="0" xfId="0" applyAlignment="1" applyFont="1">
      <alignment horizontal="left" readingOrder="0"/>
    </xf>
    <xf borderId="0" fillId="2" fontId="6" numFmtId="0" xfId="0" applyAlignment="1" applyFont="1">
      <alignment horizontal="left" readingOrder="0"/>
    </xf>
    <xf borderId="0" fillId="0" fontId="7" numFmtId="0" xfId="0" applyAlignment="1" applyFont="1">
      <alignment horizontal="center" readingOrder="0" vertical="center"/>
    </xf>
    <xf borderId="0" fillId="0" fontId="6" numFmtId="167" xfId="0" applyAlignment="1" applyFont="1" applyNumberFormat="1">
      <alignment horizontal="left" readingOrder="0"/>
    </xf>
    <xf borderId="0" fillId="0" fontId="6" numFmtId="168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13"/>
    <col customWidth="1" min="3" max="3" width="18.13"/>
    <col customWidth="1" min="4" max="4" width="15.88"/>
    <col customWidth="1" min="8" max="8" width="3.75"/>
    <col customWidth="1" min="9" max="9" width="16.38"/>
    <col customWidth="1" min="10" max="10" width="14.75"/>
    <col customWidth="1" min="11" max="12" width="13.5"/>
    <col customWidth="1" min="14" max="14" width="3.63"/>
    <col customWidth="1" min="15" max="15" width="16.38"/>
    <col customWidth="1" min="16" max="16" width="14.5"/>
    <col customWidth="1" min="17" max="18" width="13.63"/>
  </cols>
  <sheetData>
    <row r="3">
      <c r="A3" s="1" t="s">
        <v>0</v>
      </c>
      <c r="I3" s="2" t="s">
        <v>1</v>
      </c>
      <c r="N3" s="3" t="s">
        <v>2</v>
      </c>
    </row>
    <row r="6">
      <c r="H6" s="4"/>
      <c r="I6" s="5">
        <v>1650000.0</v>
      </c>
      <c r="N6" s="6" t="s">
        <v>6</v>
      </c>
      <c r="O6" s="6" t="s">
        <v>7</v>
      </c>
      <c r="P6" s="7" t="s">
        <v>8</v>
      </c>
      <c r="Q6" s="6" t="s">
        <v>9</v>
      </c>
      <c r="R6" s="6" t="s">
        <v>10</v>
      </c>
      <c r="S6" s="6" t="s">
        <v>11</v>
      </c>
    </row>
    <row r="7">
      <c r="H7" s="4"/>
      <c r="N7" s="8">
        <v>1.0</v>
      </c>
      <c r="O7" s="9">
        <v>46023.0</v>
      </c>
      <c r="P7" s="10">
        <f t="shared" ref="P7:P18" si="1">$I$6</f>
        <v>1650000</v>
      </c>
      <c r="Q7" s="11">
        <f>E57</f>
        <v>1310000</v>
      </c>
      <c r="R7" s="11">
        <f t="shared" ref="R7:R18" si="2">sum(Q7-P7)</f>
        <v>-340000</v>
      </c>
      <c r="S7" s="8"/>
    </row>
    <row r="8">
      <c r="H8" s="4"/>
      <c r="N8" s="8">
        <v>2.0</v>
      </c>
      <c r="O8" s="9">
        <v>46054.0</v>
      </c>
      <c r="P8" s="10">
        <f t="shared" si="1"/>
        <v>1650000</v>
      </c>
      <c r="Q8" s="11">
        <f>K54</f>
        <v>1075000</v>
      </c>
      <c r="R8" s="11">
        <f t="shared" si="2"/>
        <v>-575000</v>
      </c>
      <c r="S8" s="12"/>
    </row>
    <row r="9">
      <c r="H9" s="4"/>
      <c r="N9" s="8">
        <v>3.0</v>
      </c>
      <c r="O9" s="9">
        <v>46082.0</v>
      </c>
      <c r="P9" s="10">
        <f t="shared" si="1"/>
        <v>1650000</v>
      </c>
      <c r="Q9" s="11">
        <f>Q57</f>
        <v>1450000</v>
      </c>
      <c r="R9" s="11">
        <f t="shared" si="2"/>
        <v>-200000</v>
      </c>
      <c r="S9" s="12"/>
    </row>
    <row r="10">
      <c r="H10" s="4"/>
      <c r="N10" s="8">
        <v>4.0</v>
      </c>
      <c r="O10" s="9">
        <v>46113.0</v>
      </c>
      <c r="P10" s="10">
        <f t="shared" si="1"/>
        <v>1650000</v>
      </c>
      <c r="Q10" s="11">
        <f>E89</f>
        <v>2100000</v>
      </c>
      <c r="R10" s="11">
        <f t="shared" si="2"/>
        <v>450000</v>
      </c>
      <c r="S10" s="12"/>
    </row>
    <row r="11">
      <c r="H11" s="4"/>
      <c r="N11" s="8">
        <v>5.0</v>
      </c>
      <c r="O11" s="9">
        <v>46143.0</v>
      </c>
      <c r="P11" s="10">
        <f t="shared" si="1"/>
        <v>1650000</v>
      </c>
      <c r="Q11" s="11">
        <f>K88</f>
        <v>1450000</v>
      </c>
      <c r="R11" s="11">
        <f t="shared" si="2"/>
        <v>-200000</v>
      </c>
      <c r="S11" s="12"/>
    </row>
    <row r="12">
      <c r="H12" s="4"/>
      <c r="N12" s="8">
        <v>6.0</v>
      </c>
      <c r="O12" s="9">
        <v>46174.0</v>
      </c>
      <c r="P12" s="10">
        <f t="shared" si="1"/>
        <v>1650000</v>
      </c>
      <c r="Q12" s="11">
        <f>Q89</f>
        <v>1920000</v>
      </c>
      <c r="R12" s="11">
        <f t="shared" si="2"/>
        <v>270000</v>
      </c>
      <c r="S12" s="12"/>
    </row>
    <row r="13">
      <c r="H13" s="4"/>
      <c r="N13" s="8">
        <v>7.0</v>
      </c>
      <c r="O13" s="9">
        <v>46204.0</v>
      </c>
      <c r="P13" s="10">
        <f t="shared" si="1"/>
        <v>1650000</v>
      </c>
      <c r="Q13" s="11">
        <f>E122</f>
        <v>1520000</v>
      </c>
      <c r="R13" s="11">
        <f t="shared" si="2"/>
        <v>-130000</v>
      </c>
      <c r="S13" s="12"/>
    </row>
    <row r="14">
      <c r="H14" s="4"/>
      <c r="N14" s="8">
        <v>8.0</v>
      </c>
      <c r="O14" s="9">
        <v>46235.0</v>
      </c>
      <c r="P14" s="10">
        <f t="shared" si="1"/>
        <v>1650000</v>
      </c>
      <c r="Q14" s="11">
        <f>K120</f>
        <v>840000</v>
      </c>
      <c r="R14" s="11">
        <f t="shared" si="2"/>
        <v>-810000</v>
      </c>
      <c r="S14" s="12"/>
    </row>
    <row r="15">
      <c r="H15" s="4"/>
      <c r="N15" s="8">
        <v>9.0</v>
      </c>
      <c r="O15" s="9">
        <v>46266.0</v>
      </c>
      <c r="P15" s="10">
        <f t="shared" si="1"/>
        <v>1650000</v>
      </c>
      <c r="Q15" s="11">
        <f>Q121</f>
        <v>0</v>
      </c>
      <c r="R15" s="11">
        <f t="shared" si="2"/>
        <v>-1650000</v>
      </c>
      <c r="S15" s="12"/>
    </row>
    <row r="16">
      <c r="H16" s="4"/>
      <c r="N16" s="8">
        <v>10.0</v>
      </c>
      <c r="O16" s="9">
        <v>46296.0</v>
      </c>
      <c r="P16" s="10">
        <f t="shared" si="1"/>
        <v>1650000</v>
      </c>
      <c r="Q16" s="11">
        <f>E154</f>
        <v>0</v>
      </c>
      <c r="R16" s="11">
        <f t="shared" si="2"/>
        <v>-1650000</v>
      </c>
      <c r="S16" s="12"/>
    </row>
    <row r="17">
      <c r="N17" s="8">
        <v>11.0</v>
      </c>
      <c r="O17" s="9">
        <v>46327.0</v>
      </c>
      <c r="P17" s="10">
        <f t="shared" si="1"/>
        <v>1650000</v>
      </c>
      <c r="Q17" s="11">
        <f>K153</f>
        <v>0</v>
      </c>
      <c r="R17" s="11">
        <f t="shared" si="2"/>
        <v>-1650000</v>
      </c>
      <c r="S17" s="12"/>
    </row>
    <row r="18">
      <c r="N18" s="8">
        <v>12.0</v>
      </c>
      <c r="O18" s="9">
        <v>46357.0</v>
      </c>
      <c r="P18" s="10">
        <f t="shared" si="1"/>
        <v>1650000</v>
      </c>
      <c r="Q18" s="11">
        <f>Q155</f>
        <v>0</v>
      </c>
      <c r="R18" s="11">
        <f t="shared" si="2"/>
        <v>-1650000</v>
      </c>
      <c r="S18" s="12"/>
    </row>
    <row r="19">
      <c r="N19" s="13" t="s">
        <v>12</v>
      </c>
      <c r="P19" s="14">
        <f>sum(P7:P18)</f>
        <v>19800000</v>
      </c>
      <c r="Q19" s="15">
        <f t="shared" ref="Q19:R19" si="3">SUM(Q7:Q18)</f>
        <v>11665000</v>
      </c>
      <c r="R19" s="14">
        <f t="shared" si="3"/>
        <v>-8135000</v>
      </c>
      <c r="S19" s="16"/>
    </row>
    <row r="24">
      <c r="B24" s="17" t="s">
        <v>13</v>
      </c>
    </row>
    <row r="28">
      <c r="B28" s="18" t="s">
        <v>14</v>
      </c>
      <c r="H28" s="18" t="s">
        <v>15</v>
      </c>
      <c r="N28" s="18" t="s">
        <v>16</v>
      </c>
    </row>
    <row r="30">
      <c r="B30" s="19" t="s">
        <v>6</v>
      </c>
      <c r="C30" s="13" t="s">
        <v>17</v>
      </c>
      <c r="D30" s="13" t="s">
        <v>11</v>
      </c>
      <c r="E30" s="13" t="s">
        <v>9</v>
      </c>
      <c r="F30" s="13" t="s">
        <v>10</v>
      </c>
      <c r="H30" s="13" t="s">
        <v>6</v>
      </c>
      <c r="I30" s="13" t="s">
        <v>17</v>
      </c>
      <c r="J30" s="13" t="s">
        <v>11</v>
      </c>
      <c r="K30" s="13" t="s">
        <v>9</v>
      </c>
      <c r="L30" s="13" t="s">
        <v>10</v>
      </c>
      <c r="N30" s="13" t="s">
        <v>6</v>
      </c>
      <c r="O30" s="13" t="s">
        <v>17</v>
      </c>
      <c r="P30" s="13" t="s">
        <v>11</v>
      </c>
      <c r="Q30" s="13" t="s">
        <v>9</v>
      </c>
      <c r="R30" s="13" t="s">
        <v>10</v>
      </c>
    </row>
    <row r="31">
      <c r="B31" s="8">
        <v>1.0</v>
      </c>
      <c r="C31" s="20">
        <v>46023.0</v>
      </c>
      <c r="D31" s="12" t="s">
        <v>18</v>
      </c>
      <c r="E31" s="21">
        <v>0.0</v>
      </c>
      <c r="F31" s="21">
        <f>(E31)</f>
        <v>0</v>
      </c>
      <c r="H31" s="8">
        <v>1.0</v>
      </c>
      <c r="I31" s="20">
        <v>46055.0</v>
      </c>
      <c r="J31" s="12" t="s">
        <v>19</v>
      </c>
      <c r="K31" s="21">
        <v>70000.0</v>
      </c>
      <c r="L31" s="21">
        <f>K31</f>
        <v>70000</v>
      </c>
      <c r="N31" s="8">
        <v>1.0</v>
      </c>
      <c r="O31" s="20">
        <v>46083.0</v>
      </c>
      <c r="P31" s="12" t="s">
        <v>19</v>
      </c>
      <c r="Q31" s="21">
        <v>50000.0</v>
      </c>
      <c r="R31" s="21">
        <f>Q31</f>
        <v>50000</v>
      </c>
    </row>
    <row r="32">
      <c r="B32" s="8">
        <v>2.0</v>
      </c>
      <c r="C32" s="20">
        <v>46024.0</v>
      </c>
      <c r="D32" s="12" t="s">
        <v>20</v>
      </c>
      <c r="E32" s="21">
        <v>0.0</v>
      </c>
      <c r="F32" s="21">
        <f>sum(F31+E32)</f>
        <v>0</v>
      </c>
      <c r="H32" s="8">
        <v>2.0</v>
      </c>
      <c r="I32" s="20">
        <v>46056.0</v>
      </c>
      <c r="J32" s="12" t="s">
        <v>21</v>
      </c>
      <c r="K32" s="21">
        <v>70000.0</v>
      </c>
      <c r="L32" s="21">
        <f t="shared" ref="L32:L35" si="4">sum(L31+K32)</f>
        <v>140000</v>
      </c>
      <c r="N32" s="8">
        <v>2.0</v>
      </c>
      <c r="O32" s="20">
        <v>46084.0</v>
      </c>
      <c r="P32" s="12" t="s">
        <v>21</v>
      </c>
      <c r="Q32" s="21">
        <v>50000.0</v>
      </c>
      <c r="R32" s="21">
        <f t="shared" ref="R32:R35" si="5">sum(R31+Q32)</f>
        <v>100000</v>
      </c>
    </row>
    <row r="33">
      <c r="B33" s="12"/>
      <c r="C33" s="20"/>
      <c r="D33" s="12"/>
      <c r="E33" s="21"/>
      <c r="F33" s="21"/>
      <c r="H33" s="8">
        <v>3.0</v>
      </c>
      <c r="I33" s="20">
        <v>46057.0</v>
      </c>
      <c r="J33" s="12" t="s">
        <v>22</v>
      </c>
      <c r="K33" s="21">
        <v>70000.0</v>
      </c>
      <c r="L33" s="21">
        <f t="shared" si="4"/>
        <v>210000</v>
      </c>
      <c r="N33" s="8">
        <v>3.0</v>
      </c>
      <c r="O33" s="20">
        <v>46085.0</v>
      </c>
      <c r="P33" s="12" t="s">
        <v>22</v>
      </c>
      <c r="Q33" s="21">
        <v>50000.0</v>
      </c>
      <c r="R33" s="21">
        <f t="shared" si="5"/>
        <v>150000</v>
      </c>
    </row>
    <row r="34">
      <c r="B34" s="8">
        <v>3.0</v>
      </c>
      <c r="C34" s="20">
        <v>46027.0</v>
      </c>
      <c r="D34" s="12" t="s">
        <v>19</v>
      </c>
      <c r="E34" s="21">
        <v>70000.0</v>
      </c>
      <c r="F34" s="21">
        <f>sum(F32+E34)</f>
        <v>70000</v>
      </c>
      <c r="H34" s="8">
        <v>4.0</v>
      </c>
      <c r="I34" s="20">
        <v>46058.0</v>
      </c>
      <c r="J34" s="12" t="s">
        <v>18</v>
      </c>
      <c r="K34" s="21">
        <v>70000.0</v>
      </c>
      <c r="L34" s="21">
        <f t="shared" si="4"/>
        <v>280000</v>
      </c>
      <c r="N34" s="8">
        <v>4.0</v>
      </c>
      <c r="O34" s="20">
        <v>46086.0</v>
      </c>
      <c r="P34" s="12" t="s">
        <v>18</v>
      </c>
      <c r="Q34" s="21">
        <v>50000.0</v>
      </c>
      <c r="R34" s="21">
        <f t="shared" si="5"/>
        <v>200000</v>
      </c>
    </row>
    <row r="35">
      <c r="B35" s="8">
        <v>4.0</v>
      </c>
      <c r="C35" s="20">
        <v>46028.0</v>
      </c>
      <c r="D35" s="12" t="s">
        <v>21</v>
      </c>
      <c r="E35" s="21">
        <v>70000.0</v>
      </c>
      <c r="F35" s="21">
        <f t="shared" ref="F35:F38" si="6">sum(F34+E35)</f>
        <v>140000</v>
      </c>
      <c r="H35" s="8">
        <v>5.0</v>
      </c>
      <c r="I35" s="20">
        <v>46059.0</v>
      </c>
      <c r="J35" s="12" t="s">
        <v>20</v>
      </c>
      <c r="K35" s="21">
        <v>70000.0</v>
      </c>
      <c r="L35" s="21">
        <f t="shared" si="4"/>
        <v>350000</v>
      </c>
      <c r="N35" s="8">
        <v>5.0</v>
      </c>
      <c r="O35" s="20">
        <v>46087.0</v>
      </c>
      <c r="P35" s="12" t="s">
        <v>20</v>
      </c>
      <c r="Q35" s="21">
        <v>50000.0</v>
      </c>
      <c r="R35" s="21">
        <f t="shared" si="5"/>
        <v>250000</v>
      </c>
    </row>
    <row r="36">
      <c r="B36" s="8">
        <v>5.0</v>
      </c>
      <c r="C36" s="20">
        <v>46029.0</v>
      </c>
      <c r="D36" s="12" t="s">
        <v>22</v>
      </c>
      <c r="E36" s="21">
        <v>70000.0</v>
      </c>
      <c r="F36" s="21">
        <f t="shared" si="6"/>
        <v>210000</v>
      </c>
      <c r="H36" s="8"/>
      <c r="J36" s="12"/>
      <c r="K36" s="21"/>
      <c r="L36" s="21"/>
      <c r="N36" s="8"/>
      <c r="P36" s="12"/>
      <c r="Q36" s="21"/>
      <c r="R36" s="21"/>
    </row>
    <row r="37">
      <c r="B37" s="8">
        <v>6.0</v>
      </c>
      <c r="C37" s="20">
        <v>46030.0</v>
      </c>
      <c r="D37" s="12" t="s">
        <v>18</v>
      </c>
      <c r="E37" s="21">
        <v>70000.0</v>
      </c>
      <c r="F37" s="21">
        <f t="shared" si="6"/>
        <v>280000</v>
      </c>
      <c r="H37" s="8">
        <v>6.0</v>
      </c>
      <c r="I37" s="20">
        <v>46062.0</v>
      </c>
      <c r="J37" s="22" t="s">
        <v>19</v>
      </c>
      <c r="K37" s="21">
        <v>70000.0</v>
      </c>
      <c r="L37" s="21">
        <f>sum(L35+K37)</f>
        <v>420000</v>
      </c>
      <c r="N37" s="8">
        <v>6.0</v>
      </c>
      <c r="O37" s="20">
        <v>46090.0</v>
      </c>
      <c r="P37" s="22" t="s">
        <v>19</v>
      </c>
      <c r="Q37" s="21">
        <v>50000.0</v>
      </c>
      <c r="R37" s="21">
        <f>sum(R35+Q37)</f>
        <v>300000</v>
      </c>
    </row>
    <row r="38">
      <c r="B38" s="8">
        <v>7.0</v>
      </c>
      <c r="C38" s="20">
        <v>46031.0</v>
      </c>
      <c r="D38" s="12" t="s">
        <v>20</v>
      </c>
      <c r="E38" s="21">
        <v>70000.0</v>
      </c>
      <c r="F38" s="21">
        <f t="shared" si="6"/>
        <v>350000</v>
      </c>
      <c r="H38" s="8">
        <v>7.0</v>
      </c>
      <c r="I38" s="20">
        <v>46063.0</v>
      </c>
      <c r="J38" s="22" t="s">
        <v>21</v>
      </c>
      <c r="K38" s="21">
        <v>70000.0</v>
      </c>
      <c r="L38" s="21">
        <f t="shared" ref="L38:L41" si="7">sum(L37+K38)</f>
        <v>490000</v>
      </c>
      <c r="N38" s="8">
        <v>7.0</v>
      </c>
      <c r="O38" s="20">
        <v>46091.0</v>
      </c>
      <c r="P38" s="22" t="s">
        <v>21</v>
      </c>
      <c r="Q38" s="21">
        <v>50000.0</v>
      </c>
      <c r="R38" s="21">
        <f t="shared" ref="R38:R41" si="8">sum(R37+Q38)</f>
        <v>350000</v>
      </c>
    </row>
    <row r="39">
      <c r="B39" s="12"/>
      <c r="E39" s="21"/>
      <c r="F39" s="21"/>
      <c r="H39" s="8">
        <v>8.0</v>
      </c>
      <c r="I39" s="20">
        <v>46064.0</v>
      </c>
      <c r="J39" s="22" t="s">
        <v>22</v>
      </c>
      <c r="K39" s="21">
        <v>75000.0</v>
      </c>
      <c r="L39" s="21">
        <f t="shared" si="7"/>
        <v>565000</v>
      </c>
      <c r="N39" s="8">
        <v>8.0</v>
      </c>
      <c r="O39" s="20">
        <v>46092.0</v>
      </c>
      <c r="P39" s="22" t="s">
        <v>22</v>
      </c>
      <c r="Q39" s="21">
        <v>450000.0</v>
      </c>
      <c r="R39" s="21">
        <f t="shared" si="8"/>
        <v>800000</v>
      </c>
    </row>
    <row r="40">
      <c r="B40" s="8">
        <v>8.0</v>
      </c>
      <c r="C40" s="20">
        <v>46034.0</v>
      </c>
      <c r="D40" s="12" t="s">
        <v>19</v>
      </c>
      <c r="E40" s="21">
        <v>70000.0</v>
      </c>
      <c r="F40" s="21">
        <f>sum(F38+E40)</f>
        <v>420000</v>
      </c>
      <c r="H40" s="8">
        <v>9.0</v>
      </c>
      <c r="I40" s="20">
        <v>46065.0</v>
      </c>
      <c r="J40" s="22" t="s">
        <v>18</v>
      </c>
      <c r="K40" s="21">
        <v>70000.0</v>
      </c>
      <c r="L40" s="21">
        <f t="shared" si="7"/>
        <v>635000</v>
      </c>
      <c r="N40" s="8">
        <v>9.0</v>
      </c>
      <c r="O40" s="20">
        <v>46093.0</v>
      </c>
      <c r="P40" s="22" t="s">
        <v>18</v>
      </c>
      <c r="Q40" s="21">
        <v>50000.0</v>
      </c>
      <c r="R40" s="21">
        <f t="shared" si="8"/>
        <v>850000</v>
      </c>
    </row>
    <row r="41">
      <c r="B41" s="8">
        <v>9.0</v>
      </c>
      <c r="C41" s="20">
        <v>46035.0</v>
      </c>
      <c r="D41" s="12" t="s">
        <v>21</v>
      </c>
      <c r="E41" s="21">
        <v>70000.0</v>
      </c>
      <c r="F41" s="21">
        <f t="shared" ref="F41:F44" si="9">sum(F40+E41)</f>
        <v>490000</v>
      </c>
      <c r="H41" s="8">
        <v>10.0</v>
      </c>
      <c r="I41" s="20">
        <v>46066.0</v>
      </c>
      <c r="J41" s="22" t="s">
        <v>20</v>
      </c>
      <c r="K41" s="21">
        <v>70000.0</v>
      </c>
      <c r="L41" s="21">
        <f t="shared" si="7"/>
        <v>705000</v>
      </c>
      <c r="N41" s="8">
        <v>10.0</v>
      </c>
      <c r="O41" s="20">
        <v>46094.0</v>
      </c>
      <c r="P41" s="22" t="s">
        <v>20</v>
      </c>
      <c r="Q41" s="21">
        <v>50000.0</v>
      </c>
      <c r="R41" s="21">
        <f t="shared" si="8"/>
        <v>900000</v>
      </c>
    </row>
    <row r="42">
      <c r="B42" s="8">
        <v>10.0</v>
      </c>
      <c r="C42" s="20">
        <v>46036.0</v>
      </c>
      <c r="D42" s="12" t="s">
        <v>22</v>
      </c>
      <c r="E42" s="21">
        <v>70000.0</v>
      </c>
      <c r="F42" s="21">
        <f t="shared" si="9"/>
        <v>560000</v>
      </c>
      <c r="H42" s="8"/>
      <c r="J42" s="12"/>
      <c r="K42" s="21"/>
      <c r="L42" s="21"/>
      <c r="N42" s="8"/>
      <c r="P42" s="12"/>
      <c r="Q42" s="21"/>
      <c r="R42" s="21"/>
    </row>
    <row r="43">
      <c r="B43" s="8">
        <v>11.0</v>
      </c>
      <c r="C43" s="20">
        <v>46037.0</v>
      </c>
      <c r="D43" s="12" t="s">
        <v>18</v>
      </c>
      <c r="E43" s="21">
        <v>70000.0</v>
      </c>
      <c r="F43" s="21">
        <f t="shared" si="9"/>
        <v>630000</v>
      </c>
      <c r="H43" s="8">
        <v>11.0</v>
      </c>
      <c r="I43" s="20">
        <v>46069.0</v>
      </c>
      <c r="J43" s="22" t="s">
        <v>19</v>
      </c>
      <c r="K43" s="21">
        <v>0.0</v>
      </c>
      <c r="L43" s="21">
        <f>sum(L41+K43)</f>
        <v>705000</v>
      </c>
      <c r="N43" s="8">
        <v>11.0</v>
      </c>
      <c r="O43" s="20">
        <v>46097.0</v>
      </c>
      <c r="P43" s="22" t="s">
        <v>19</v>
      </c>
      <c r="Q43" s="21">
        <v>0.0</v>
      </c>
      <c r="R43" s="21">
        <f>sum(R41+Q43)</f>
        <v>900000</v>
      </c>
    </row>
    <row r="44">
      <c r="B44" s="8">
        <v>12.0</v>
      </c>
      <c r="C44" s="20">
        <v>46038.0</v>
      </c>
      <c r="D44" s="12" t="s">
        <v>20</v>
      </c>
      <c r="E44" s="21">
        <v>0.0</v>
      </c>
      <c r="F44" s="21">
        <f t="shared" si="9"/>
        <v>630000</v>
      </c>
      <c r="H44" s="8">
        <v>12.0</v>
      </c>
      <c r="I44" s="20">
        <v>46070.0</v>
      </c>
      <c r="J44" s="22" t="s">
        <v>21</v>
      </c>
      <c r="K44" s="21">
        <v>0.0</v>
      </c>
      <c r="L44" s="21">
        <f t="shared" ref="L44:L47" si="10">sum(L43+K44)</f>
        <v>705000</v>
      </c>
      <c r="N44" s="8">
        <v>12.0</v>
      </c>
      <c r="O44" s="20">
        <v>46098.0</v>
      </c>
      <c r="P44" s="22" t="s">
        <v>21</v>
      </c>
      <c r="Q44" s="21">
        <v>0.0</v>
      </c>
      <c r="R44" s="21">
        <f t="shared" ref="R44:R47" si="11">sum(R43+Q44)</f>
        <v>900000</v>
      </c>
    </row>
    <row r="45">
      <c r="B45" s="12"/>
      <c r="E45" s="21"/>
      <c r="F45" s="21"/>
      <c r="H45" s="8">
        <v>13.0</v>
      </c>
      <c r="I45" s="20">
        <v>46071.0</v>
      </c>
      <c r="J45" s="22" t="s">
        <v>22</v>
      </c>
      <c r="K45" s="21">
        <v>0.0</v>
      </c>
      <c r="L45" s="21">
        <f t="shared" si="10"/>
        <v>705000</v>
      </c>
      <c r="N45" s="8">
        <v>13.0</v>
      </c>
      <c r="O45" s="20">
        <v>46099.0</v>
      </c>
      <c r="P45" s="22" t="s">
        <v>22</v>
      </c>
      <c r="Q45" s="21">
        <v>0.0</v>
      </c>
      <c r="R45" s="21">
        <f t="shared" si="11"/>
        <v>900000</v>
      </c>
    </row>
    <row r="46">
      <c r="B46" s="8">
        <v>13.0</v>
      </c>
      <c r="C46" s="20">
        <v>46041.0</v>
      </c>
      <c r="D46" s="12" t="s">
        <v>19</v>
      </c>
      <c r="E46" s="21">
        <v>70000.0</v>
      </c>
      <c r="F46" s="21">
        <f>sum(F44+E46)</f>
        <v>700000</v>
      </c>
      <c r="H46" s="8">
        <v>14.0</v>
      </c>
      <c r="I46" s="20">
        <v>46072.0</v>
      </c>
      <c r="J46" s="22" t="s">
        <v>18</v>
      </c>
      <c r="K46" s="21">
        <v>70000.0</v>
      </c>
      <c r="L46" s="21">
        <f t="shared" si="10"/>
        <v>775000</v>
      </c>
      <c r="N46" s="8">
        <v>14.0</v>
      </c>
      <c r="O46" s="20">
        <v>46100.0</v>
      </c>
      <c r="P46" s="22" t="s">
        <v>18</v>
      </c>
      <c r="Q46" s="21">
        <v>350000.0</v>
      </c>
      <c r="R46" s="21">
        <f t="shared" si="11"/>
        <v>1250000</v>
      </c>
    </row>
    <row r="47">
      <c r="B47" s="8">
        <v>14.0</v>
      </c>
      <c r="C47" s="20">
        <v>46042.0</v>
      </c>
      <c r="D47" s="12" t="s">
        <v>21</v>
      </c>
      <c r="E47" s="21">
        <v>70000.0</v>
      </c>
      <c r="F47" s="21">
        <f t="shared" ref="F47:F50" si="12">sum(F46+E47)</f>
        <v>770000</v>
      </c>
      <c r="H47" s="8">
        <v>15.0</v>
      </c>
      <c r="I47" s="20">
        <v>46073.0</v>
      </c>
      <c r="J47" s="22" t="s">
        <v>20</v>
      </c>
      <c r="K47" s="21">
        <v>50000.0</v>
      </c>
      <c r="L47" s="21">
        <f t="shared" si="10"/>
        <v>825000</v>
      </c>
      <c r="N47" s="8">
        <v>15.0</v>
      </c>
      <c r="O47" s="20">
        <v>46101.0</v>
      </c>
      <c r="P47" s="22" t="s">
        <v>20</v>
      </c>
      <c r="Q47" s="21">
        <v>0.0</v>
      </c>
      <c r="R47" s="21">
        <f t="shared" si="11"/>
        <v>1250000</v>
      </c>
    </row>
    <row r="48">
      <c r="B48" s="8">
        <v>15.0</v>
      </c>
      <c r="C48" s="20">
        <v>46043.0</v>
      </c>
      <c r="D48" s="12" t="s">
        <v>22</v>
      </c>
      <c r="E48" s="21">
        <v>70000.0</v>
      </c>
      <c r="F48" s="21">
        <f t="shared" si="12"/>
        <v>840000</v>
      </c>
      <c r="H48" s="8"/>
      <c r="J48" s="12"/>
      <c r="K48" s="21"/>
      <c r="L48" s="21"/>
      <c r="N48" s="8"/>
      <c r="P48" s="12"/>
      <c r="Q48" s="21"/>
      <c r="R48" s="21"/>
    </row>
    <row r="49">
      <c r="B49" s="8">
        <v>16.0</v>
      </c>
      <c r="C49" s="20">
        <v>46044.0</v>
      </c>
      <c r="D49" s="12" t="s">
        <v>18</v>
      </c>
      <c r="E49" s="21">
        <v>70000.0</v>
      </c>
      <c r="F49" s="21">
        <f t="shared" si="12"/>
        <v>910000</v>
      </c>
      <c r="H49" s="8">
        <v>16.0</v>
      </c>
      <c r="I49" s="20">
        <v>46076.0</v>
      </c>
      <c r="J49" s="22" t="s">
        <v>19</v>
      </c>
      <c r="K49" s="21">
        <v>50000.0</v>
      </c>
      <c r="L49" s="21">
        <f>sum(L47+K49)</f>
        <v>875000</v>
      </c>
      <c r="N49" s="8">
        <v>16.0</v>
      </c>
      <c r="O49" s="20">
        <v>46104.0</v>
      </c>
      <c r="P49" s="22" t="s">
        <v>19</v>
      </c>
      <c r="Q49" s="21">
        <v>0.0</v>
      </c>
      <c r="R49" s="21">
        <f>sum(R47+Q49)</f>
        <v>1250000</v>
      </c>
    </row>
    <row r="50">
      <c r="B50" s="8">
        <v>17.0</v>
      </c>
      <c r="C50" s="20">
        <v>46045.0</v>
      </c>
      <c r="D50" s="12" t="s">
        <v>20</v>
      </c>
      <c r="E50" s="21">
        <v>70000.0</v>
      </c>
      <c r="F50" s="21">
        <f t="shared" si="12"/>
        <v>980000</v>
      </c>
      <c r="H50" s="8">
        <v>17.0</v>
      </c>
      <c r="I50" s="20">
        <v>46077.0</v>
      </c>
      <c r="J50" s="22" t="s">
        <v>21</v>
      </c>
      <c r="K50" s="21">
        <v>50000.0</v>
      </c>
      <c r="L50" s="21">
        <f t="shared" ref="L50:L53" si="13">sum(L49+K50)</f>
        <v>925000</v>
      </c>
      <c r="N50" s="8">
        <v>17.0</v>
      </c>
      <c r="O50" s="20">
        <v>46105.0</v>
      </c>
      <c r="P50" s="22" t="s">
        <v>21</v>
      </c>
      <c r="Q50" s="21">
        <v>0.0</v>
      </c>
      <c r="R50" s="21">
        <f t="shared" ref="R50:R53" si="14">sum(R49+Q50)</f>
        <v>1250000</v>
      </c>
    </row>
    <row r="51">
      <c r="B51" s="12"/>
      <c r="E51" s="21"/>
      <c r="F51" s="21"/>
      <c r="H51" s="8">
        <v>18.0</v>
      </c>
      <c r="I51" s="20">
        <v>46078.0</v>
      </c>
      <c r="J51" s="22" t="s">
        <v>22</v>
      </c>
      <c r="K51" s="21">
        <v>50000.0</v>
      </c>
      <c r="L51" s="21">
        <f t="shared" si="13"/>
        <v>975000</v>
      </c>
      <c r="N51" s="8">
        <v>18.0</v>
      </c>
      <c r="O51" s="20">
        <v>46106.0</v>
      </c>
      <c r="P51" s="22" t="s">
        <v>22</v>
      </c>
      <c r="Q51" s="21">
        <v>0.0</v>
      </c>
      <c r="R51" s="21">
        <f t="shared" si="14"/>
        <v>1250000</v>
      </c>
    </row>
    <row r="52">
      <c r="B52" s="8">
        <v>18.0</v>
      </c>
      <c r="C52" s="20">
        <v>46048.0</v>
      </c>
      <c r="D52" s="12" t="s">
        <v>19</v>
      </c>
      <c r="E52" s="21">
        <v>70000.0</v>
      </c>
      <c r="F52" s="21">
        <f>sum(F50+E52)</f>
        <v>1050000</v>
      </c>
      <c r="H52" s="8">
        <v>19.0</v>
      </c>
      <c r="I52" s="20">
        <v>46079.0</v>
      </c>
      <c r="J52" s="22" t="s">
        <v>18</v>
      </c>
      <c r="K52" s="21">
        <v>50000.0</v>
      </c>
      <c r="L52" s="21">
        <f t="shared" si="13"/>
        <v>1025000</v>
      </c>
      <c r="N52" s="8">
        <v>19.0</v>
      </c>
      <c r="O52" s="20">
        <v>46107.0</v>
      </c>
      <c r="P52" s="22" t="s">
        <v>18</v>
      </c>
      <c r="Q52" s="21">
        <v>0.0</v>
      </c>
      <c r="R52" s="21">
        <f t="shared" si="14"/>
        <v>1250000</v>
      </c>
    </row>
    <row r="53">
      <c r="B53" s="8">
        <v>19.0</v>
      </c>
      <c r="C53" s="20">
        <v>46049.0</v>
      </c>
      <c r="D53" s="12" t="s">
        <v>21</v>
      </c>
      <c r="E53" s="21">
        <v>50000.0</v>
      </c>
      <c r="F53" s="21">
        <f t="shared" ref="F53:F56" si="15">sum(F52+E53)</f>
        <v>1100000</v>
      </c>
      <c r="H53" s="8">
        <v>20.0</v>
      </c>
      <c r="I53" s="20">
        <v>46080.0</v>
      </c>
      <c r="J53" s="22" t="s">
        <v>20</v>
      </c>
      <c r="K53" s="21">
        <v>50000.0</v>
      </c>
      <c r="L53" s="21">
        <f t="shared" si="13"/>
        <v>1075000</v>
      </c>
      <c r="N53" s="8">
        <v>20.0</v>
      </c>
      <c r="O53" s="20">
        <v>46108.0</v>
      </c>
      <c r="P53" s="22" t="s">
        <v>20</v>
      </c>
      <c r="Q53" s="21">
        <v>0.0</v>
      </c>
      <c r="R53" s="21">
        <f t="shared" si="14"/>
        <v>1250000</v>
      </c>
    </row>
    <row r="54">
      <c r="B54" s="8">
        <v>20.0</v>
      </c>
      <c r="C54" s="20">
        <v>46050.0</v>
      </c>
      <c r="D54" s="12" t="s">
        <v>22</v>
      </c>
      <c r="E54" s="21">
        <v>70000.0</v>
      </c>
      <c r="F54" s="21">
        <f t="shared" si="15"/>
        <v>1170000</v>
      </c>
      <c r="H54" s="13" t="s">
        <v>23</v>
      </c>
      <c r="K54" s="23">
        <f>L53</f>
        <v>1075000</v>
      </c>
    </row>
    <row r="55">
      <c r="B55" s="8">
        <v>21.0</v>
      </c>
      <c r="C55" s="20">
        <v>46051.0</v>
      </c>
      <c r="D55" s="12" t="s">
        <v>18</v>
      </c>
      <c r="E55" s="21">
        <v>70000.0</v>
      </c>
      <c r="F55" s="21">
        <f t="shared" si="15"/>
        <v>1240000</v>
      </c>
      <c r="N55" s="8">
        <v>21.0</v>
      </c>
      <c r="O55" s="20">
        <v>46111.0</v>
      </c>
      <c r="P55" s="24" t="s">
        <v>19</v>
      </c>
      <c r="Q55" s="21">
        <v>100000.0</v>
      </c>
      <c r="R55" s="25">
        <f>sum(R53+Q55)</f>
        <v>1350000</v>
      </c>
    </row>
    <row r="56">
      <c r="B56" s="8">
        <v>22.0</v>
      </c>
      <c r="C56" s="20">
        <v>46052.0</v>
      </c>
      <c r="D56" s="12" t="s">
        <v>20</v>
      </c>
      <c r="E56" s="21">
        <v>70000.0</v>
      </c>
      <c r="F56" s="21">
        <f t="shared" si="15"/>
        <v>1310000</v>
      </c>
      <c r="N56" s="8">
        <v>22.0</v>
      </c>
      <c r="O56" s="20">
        <v>46112.0</v>
      </c>
      <c r="P56" s="24" t="s">
        <v>21</v>
      </c>
      <c r="Q56" s="21">
        <v>100000.0</v>
      </c>
      <c r="R56" s="25">
        <f>sum(R55+Q56)</f>
        <v>1450000</v>
      </c>
    </row>
    <row r="57">
      <c r="B57" s="13" t="s">
        <v>24</v>
      </c>
      <c r="E57" s="23">
        <f>F56</f>
        <v>1310000</v>
      </c>
      <c r="N57" s="13" t="s">
        <v>25</v>
      </c>
      <c r="Q57" s="23">
        <f>R56</f>
        <v>1450000</v>
      </c>
    </row>
    <row r="58">
      <c r="B58" s="12"/>
      <c r="E58" s="12"/>
      <c r="F58" s="12"/>
    </row>
    <row r="59">
      <c r="B59" s="12"/>
      <c r="E59" s="12"/>
      <c r="F59" s="12"/>
    </row>
    <row r="60">
      <c r="B60" s="18" t="s">
        <v>26</v>
      </c>
      <c r="H60" s="18" t="s">
        <v>27</v>
      </c>
      <c r="N60" s="18" t="s">
        <v>28</v>
      </c>
    </row>
    <row r="62">
      <c r="B62" s="26" t="s">
        <v>6</v>
      </c>
      <c r="C62" s="26" t="s">
        <v>17</v>
      </c>
      <c r="D62" s="26" t="s">
        <v>11</v>
      </c>
      <c r="E62" s="26" t="s">
        <v>9</v>
      </c>
      <c r="F62" s="26" t="s">
        <v>10</v>
      </c>
      <c r="H62" s="26" t="s">
        <v>6</v>
      </c>
      <c r="I62" s="26" t="s">
        <v>17</v>
      </c>
      <c r="J62" s="26" t="s">
        <v>11</v>
      </c>
      <c r="K62" s="26" t="s">
        <v>9</v>
      </c>
      <c r="L62" s="26" t="s">
        <v>10</v>
      </c>
      <c r="N62" s="26" t="s">
        <v>6</v>
      </c>
      <c r="O62" s="26" t="s">
        <v>17</v>
      </c>
      <c r="P62" s="26" t="s">
        <v>11</v>
      </c>
      <c r="Q62" s="26" t="s">
        <v>9</v>
      </c>
      <c r="R62" s="26" t="s">
        <v>10</v>
      </c>
    </row>
    <row r="63">
      <c r="B63" s="8">
        <v>1.0</v>
      </c>
      <c r="C63" s="20">
        <v>46113.0</v>
      </c>
      <c r="D63" s="12" t="s">
        <v>22</v>
      </c>
      <c r="E63" s="21">
        <v>100000.0</v>
      </c>
      <c r="F63" s="21">
        <f>(E63)</f>
        <v>100000</v>
      </c>
      <c r="H63" s="8">
        <v>1.0</v>
      </c>
      <c r="I63" s="20">
        <v>46143.0</v>
      </c>
      <c r="J63" s="12" t="s">
        <v>20</v>
      </c>
      <c r="K63" s="21">
        <v>0.0</v>
      </c>
      <c r="L63" s="21">
        <f>K63</f>
        <v>0</v>
      </c>
      <c r="N63" s="8">
        <v>1.0</v>
      </c>
      <c r="O63" s="20">
        <v>46174.0</v>
      </c>
      <c r="P63" s="22" t="s">
        <v>19</v>
      </c>
      <c r="Q63" s="21">
        <v>0.0</v>
      </c>
      <c r="R63" s="21">
        <f>(Q63)</f>
        <v>0</v>
      </c>
    </row>
    <row r="64">
      <c r="B64" s="8">
        <v>2.0</v>
      </c>
      <c r="C64" s="20">
        <v>46114.0</v>
      </c>
      <c r="D64" s="12" t="s">
        <v>18</v>
      </c>
      <c r="E64" s="21">
        <v>100000.0</v>
      </c>
      <c r="F64" s="21">
        <f t="shared" ref="F64:F65" si="16">sum(F63+E64)</f>
        <v>200000</v>
      </c>
      <c r="H64" s="8"/>
      <c r="I64" s="20"/>
      <c r="J64" s="12"/>
      <c r="K64" s="21"/>
      <c r="L64" s="21"/>
      <c r="N64" s="8">
        <v>2.0</v>
      </c>
      <c r="O64" s="20">
        <v>46175.0</v>
      </c>
      <c r="P64" s="22" t="s">
        <v>21</v>
      </c>
      <c r="Q64" s="21">
        <v>100000.0</v>
      </c>
      <c r="R64" s="21">
        <f t="shared" ref="R64:R67" si="17">sum(R63+Q64)</f>
        <v>100000</v>
      </c>
    </row>
    <row r="65">
      <c r="B65" s="8">
        <v>3.0</v>
      </c>
      <c r="C65" s="20">
        <v>46115.0</v>
      </c>
      <c r="D65" s="12" t="s">
        <v>20</v>
      </c>
      <c r="E65" s="21">
        <v>0.0</v>
      </c>
      <c r="F65" s="21">
        <f t="shared" si="16"/>
        <v>200000</v>
      </c>
      <c r="H65" s="8">
        <v>2.0</v>
      </c>
      <c r="I65" s="20">
        <v>46146.0</v>
      </c>
      <c r="J65" s="22" t="s">
        <v>19</v>
      </c>
      <c r="K65" s="21">
        <v>100000.0</v>
      </c>
      <c r="L65" s="21">
        <f>sum(L63+K65)</f>
        <v>100000</v>
      </c>
      <c r="N65" s="8">
        <v>3.0</v>
      </c>
      <c r="O65" s="20">
        <v>46176.0</v>
      </c>
      <c r="P65" s="22" t="s">
        <v>22</v>
      </c>
      <c r="Q65" s="21">
        <v>100000.0</v>
      </c>
      <c r="R65" s="21">
        <f t="shared" si="17"/>
        <v>200000</v>
      </c>
    </row>
    <row r="66">
      <c r="C66" s="20"/>
      <c r="E66" s="21"/>
      <c r="F66" s="21"/>
      <c r="H66" s="8">
        <v>3.0</v>
      </c>
      <c r="I66" s="20">
        <v>46147.0</v>
      </c>
      <c r="J66" s="22" t="s">
        <v>21</v>
      </c>
      <c r="K66" s="21">
        <v>100000.0</v>
      </c>
      <c r="L66" s="21">
        <f t="shared" ref="L66:L69" si="18">sum(L65+K66)</f>
        <v>200000</v>
      </c>
      <c r="N66" s="8">
        <v>4.0</v>
      </c>
      <c r="O66" s="20">
        <v>46177.0</v>
      </c>
      <c r="P66" s="22" t="s">
        <v>18</v>
      </c>
      <c r="Q66" s="21">
        <v>100000.0</v>
      </c>
      <c r="R66" s="21">
        <f t="shared" si="17"/>
        <v>300000</v>
      </c>
    </row>
    <row r="67">
      <c r="B67" s="8">
        <v>4.0</v>
      </c>
      <c r="C67" s="20">
        <v>46118.0</v>
      </c>
      <c r="D67" s="22" t="s">
        <v>19</v>
      </c>
      <c r="E67" s="21">
        <v>100000.0</v>
      </c>
      <c r="F67" s="21">
        <f>sum(F65+E67)</f>
        <v>300000</v>
      </c>
      <c r="H67" s="8">
        <v>4.0</v>
      </c>
      <c r="I67" s="20">
        <v>46148.0</v>
      </c>
      <c r="J67" s="22" t="s">
        <v>22</v>
      </c>
      <c r="K67" s="21">
        <v>100000.0</v>
      </c>
      <c r="L67" s="21">
        <f t="shared" si="18"/>
        <v>300000</v>
      </c>
      <c r="N67" s="8">
        <v>5.0</v>
      </c>
      <c r="O67" s="20">
        <v>46178.0</v>
      </c>
      <c r="P67" s="22" t="s">
        <v>20</v>
      </c>
      <c r="Q67" s="21">
        <v>100000.0</v>
      </c>
      <c r="R67" s="21">
        <f t="shared" si="17"/>
        <v>400000</v>
      </c>
    </row>
    <row r="68">
      <c r="B68" s="8">
        <v>5.0</v>
      </c>
      <c r="C68" s="20">
        <v>46119.0</v>
      </c>
      <c r="D68" s="22" t="s">
        <v>21</v>
      </c>
      <c r="E68" s="21">
        <v>100000.0</v>
      </c>
      <c r="F68" s="21">
        <f t="shared" ref="F68:F71" si="19">sum(F67+E68)</f>
        <v>400000</v>
      </c>
      <c r="H68" s="8">
        <v>5.0</v>
      </c>
      <c r="I68" s="20">
        <v>46149.0</v>
      </c>
      <c r="J68" s="22" t="s">
        <v>18</v>
      </c>
      <c r="K68" s="21">
        <v>100000.0</v>
      </c>
      <c r="L68" s="21">
        <f t="shared" si="18"/>
        <v>400000</v>
      </c>
      <c r="O68" s="20"/>
      <c r="Q68" s="21"/>
      <c r="R68" s="21"/>
    </row>
    <row r="69">
      <c r="B69" s="8">
        <v>6.0</v>
      </c>
      <c r="C69" s="20">
        <v>46120.0</v>
      </c>
      <c r="D69" s="22" t="s">
        <v>22</v>
      </c>
      <c r="E69" s="21">
        <v>100000.0</v>
      </c>
      <c r="F69" s="21">
        <f t="shared" si="19"/>
        <v>500000</v>
      </c>
      <c r="H69" s="8">
        <v>6.0</v>
      </c>
      <c r="I69" s="20">
        <v>46150.0</v>
      </c>
      <c r="J69" s="22" t="s">
        <v>20</v>
      </c>
      <c r="K69" s="21">
        <v>100000.0</v>
      </c>
      <c r="L69" s="21">
        <f t="shared" si="18"/>
        <v>500000</v>
      </c>
      <c r="N69" s="8">
        <v>6.0</v>
      </c>
      <c r="O69" s="20">
        <v>46181.0</v>
      </c>
      <c r="P69" s="22" t="s">
        <v>19</v>
      </c>
      <c r="Q69" s="21">
        <v>50000.0</v>
      </c>
      <c r="R69" s="21">
        <f>sum(R67+Q69)</f>
        <v>450000</v>
      </c>
    </row>
    <row r="70">
      <c r="B70" s="8">
        <v>7.0</v>
      </c>
      <c r="C70" s="20">
        <v>46121.0</v>
      </c>
      <c r="D70" s="22" t="s">
        <v>18</v>
      </c>
      <c r="E70" s="21">
        <v>100000.0</v>
      </c>
      <c r="F70" s="21">
        <f t="shared" si="19"/>
        <v>600000</v>
      </c>
      <c r="H70" s="8"/>
      <c r="K70" s="21"/>
      <c r="L70" s="21"/>
      <c r="N70" s="8">
        <v>7.0</v>
      </c>
      <c r="O70" s="20">
        <v>46182.0</v>
      </c>
      <c r="P70" s="22" t="s">
        <v>21</v>
      </c>
      <c r="Q70" s="21">
        <v>100000.0</v>
      </c>
      <c r="R70" s="21">
        <f t="shared" ref="R70:R73" si="20">sum(R69+Q70)</f>
        <v>550000</v>
      </c>
    </row>
    <row r="71">
      <c r="B71" s="8">
        <v>8.0</v>
      </c>
      <c r="C71" s="20">
        <v>46122.0</v>
      </c>
      <c r="D71" s="22" t="s">
        <v>20</v>
      </c>
      <c r="E71" s="21">
        <v>100000.0</v>
      </c>
      <c r="F71" s="21">
        <f t="shared" si="19"/>
        <v>700000</v>
      </c>
      <c r="H71" s="8">
        <v>7.0</v>
      </c>
      <c r="I71" s="20">
        <v>46153.0</v>
      </c>
      <c r="J71" s="22" t="s">
        <v>19</v>
      </c>
      <c r="K71" s="21">
        <v>100000.0</v>
      </c>
      <c r="L71" s="21">
        <f>sum(L69+K71)</f>
        <v>600000</v>
      </c>
      <c r="N71" s="8">
        <v>8.0</v>
      </c>
      <c r="O71" s="20">
        <v>46183.0</v>
      </c>
      <c r="P71" s="22" t="s">
        <v>22</v>
      </c>
      <c r="Q71" s="21">
        <v>100000.0</v>
      </c>
      <c r="R71" s="21">
        <f t="shared" si="20"/>
        <v>650000</v>
      </c>
    </row>
    <row r="72">
      <c r="B72" s="8"/>
      <c r="E72" s="21"/>
      <c r="F72" s="21"/>
      <c r="H72" s="8">
        <v>8.0</v>
      </c>
      <c r="I72" s="20">
        <v>46154.0</v>
      </c>
      <c r="J72" s="22" t="s">
        <v>21</v>
      </c>
      <c r="K72" s="21">
        <v>100000.0</v>
      </c>
      <c r="L72" s="21">
        <f t="shared" ref="L72:L75" si="21">sum(L71+K72)</f>
        <v>700000</v>
      </c>
      <c r="N72" s="8">
        <v>9.0</v>
      </c>
      <c r="O72" s="20">
        <v>46184.0</v>
      </c>
      <c r="P72" s="22" t="s">
        <v>18</v>
      </c>
      <c r="Q72" s="21">
        <v>100000.0</v>
      </c>
      <c r="R72" s="21">
        <f t="shared" si="20"/>
        <v>750000</v>
      </c>
    </row>
    <row r="73">
      <c r="B73" s="8">
        <v>9.0</v>
      </c>
      <c r="C73" s="20">
        <v>46125.0</v>
      </c>
      <c r="D73" s="22" t="s">
        <v>19</v>
      </c>
      <c r="E73" s="21">
        <v>100000.0</v>
      </c>
      <c r="F73" s="21">
        <f>sum(F71+E73)</f>
        <v>800000</v>
      </c>
      <c r="H73" s="8">
        <v>9.0</v>
      </c>
      <c r="I73" s="20">
        <v>46155.0</v>
      </c>
      <c r="J73" s="22" t="s">
        <v>22</v>
      </c>
      <c r="K73" s="21">
        <v>100000.0</v>
      </c>
      <c r="L73" s="21">
        <f t="shared" si="21"/>
        <v>800000</v>
      </c>
      <c r="N73" s="8">
        <v>10.0</v>
      </c>
      <c r="O73" s="20">
        <v>46185.0</v>
      </c>
      <c r="P73" s="22" t="s">
        <v>20</v>
      </c>
      <c r="Q73" s="21">
        <v>100000.0</v>
      </c>
      <c r="R73" s="21">
        <f t="shared" si="20"/>
        <v>850000</v>
      </c>
    </row>
    <row r="74">
      <c r="B74" s="8">
        <v>10.0</v>
      </c>
      <c r="C74" s="20">
        <v>46126.0</v>
      </c>
      <c r="D74" s="22" t="s">
        <v>21</v>
      </c>
      <c r="E74" s="21">
        <v>100000.0</v>
      </c>
      <c r="F74" s="21">
        <f t="shared" ref="F74:F77" si="22">sum(F73+E74)</f>
        <v>900000</v>
      </c>
      <c r="H74" s="8">
        <v>10.0</v>
      </c>
      <c r="I74" s="20">
        <v>46156.0</v>
      </c>
      <c r="J74" s="22" t="s">
        <v>18</v>
      </c>
      <c r="K74" s="21">
        <v>0.0</v>
      </c>
      <c r="L74" s="21">
        <f t="shared" si="21"/>
        <v>800000</v>
      </c>
      <c r="Q74" s="21"/>
      <c r="R74" s="21"/>
    </row>
    <row r="75">
      <c r="B75" s="8">
        <v>11.0</v>
      </c>
      <c r="C75" s="20">
        <v>46127.0</v>
      </c>
      <c r="D75" s="22" t="s">
        <v>22</v>
      </c>
      <c r="E75" s="21">
        <v>100000.0</v>
      </c>
      <c r="F75" s="21">
        <f t="shared" si="22"/>
        <v>1000000</v>
      </c>
      <c r="H75" s="8">
        <v>11.0</v>
      </c>
      <c r="I75" s="20">
        <v>46157.0</v>
      </c>
      <c r="J75" s="22" t="s">
        <v>20</v>
      </c>
      <c r="K75" s="21">
        <v>0.0</v>
      </c>
      <c r="L75" s="21">
        <f t="shared" si="21"/>
        <v>800000</v>
      </c>
      <c r="N75" s="8">
        <v>11.0</v>
      </c>
      <c r="O75" s="20">
        <v>46188.0</v>
      </c>
      <c r="P75" s="22" t="s">
        <v>19</v>
      </c>
      <c r="Q75" s="21">
        <v>100000.0</v>
      </c>
      <c r="R75" s="21">
        <f>sum(R73+Q75)</f>
        <v>950000</v>
      </c>
    </row>
    <row r="76">
      <c r="B76" s="8">
        <v>12.0</v>
      </c>
      <c r="C76" s="20">
        <v>46128.0</v>
      </c>
      <c r="D76" s="22" t="s">
        <v>18</v>
      </c>
      <c r="E76" s="21">
        <v>100000.0</v>
      </c>
      <c r="F76" s="21">
        <f t="shared" si="22"/>
        <v>1100000</v>
      </c>
      <c r="H76" s="8"/>
      <c r="K76" s="21"/>
      <c r="L76" s="21"/>
      <c r="N76" s="8">
        <v>12.0</v>
      </c>
      <c r="O76" s="20">
        <v>46189.0</v>
      </c>
      <c r="P76" s="22" t="s">
        <v>21</v>
      </c>
      <c r="Q76" s="21">
        <v>0.0</v>
      </c>
      <c r="R76" s="21">
        <f t="shared" ref="R76:R79" si="23">sum(R75+Q76)</f>
        <v>950000</v>
      </c>
    </row>
    <row r="77">
      <c r="B77" s="8">
        <v>13.0</v>
      </c>
      <c r="C77" s="20">
        <v>46129.0</v>
      </c>
      <c r="D77" s="22" t="s">
        <v>20</v>
      </c>
      <c r="E77" s="21">
        <v>100000.0</v>
      </c>
      <c r="F77" s="21">
        <f t="shared" si="22"/>
        <v>1200000</v>
      </c>
      <c r="H77" s="8">
        <v>12.0</v>
      </c>
      <c r="I77" s="20">
        <v>46160.0</v>
      </c>
      <c r="J77" s="22" t="s">
        <v>19</v>
      </c>
      <c r="K77" s="21">
        <v>100000.0</v>
      </c>
      <c r="L77" s="21">
        <f>sum(L75+K77)</f>
        <v>900000</v>
      </c>
      <c r="N77" s="8">
        <v>13.0</v>
      </c>
      <c r="O77" s="20">
        <v>46190.0</v>
      </c>
      <c r="P77" s="22" t="s">
        <v>22</v>
      </c>
      <c r="Q77" s="21">
        <v>100000.0</v>
      </c>
      <c r="R77" s="21">
        <f t="shared" si="23"/>
        <v>1050000</v>
      </c>
    </row>
    <row r="78">
      <c r="B78" s="8"/>
      <c r="E78" s="21"/>
      <c r="F78" s="21"/>
      <c r="H78" s="8">
        <v>13.0</v>
      </c>
      <c r="I78" s="20">
        <v>46161.0</v>
      </c>
      <c r="J78" s="22" t="s">
        <v>21</v>
      </c>
      <c r="K78" s="21">
        <v>100000.0</v>
      </c>
      <c r="L78" s="21">
        <f t="shared" ref="L78:L81" si="24">sum(L77+K78)</f>
        <v>1000000</v>
      </c>
      <c r="N78" s="8">
        <v>14.0</v>
      </c>
      <c r="O78" s="20">
        <v>46191.0</v>
      </c>
      <c r="P78" s="22" t="s">
        <v>18</v>
      </c>
      <c r="Q78" s="21">
        <v>100000.0</v>
      </c>
      <c r="R78" s="21">
        <f t="shared" si="23"/>
        <v>1150000</v>
      </c>
    </row>
    <row r="79">
      <c r="B79" s="8">
        <v>14.0</v>
      </c>
      <c r="C79" s="20">
        <v>46132.0</v>
      </c>
      <c r="D79" s="22" t="s">
        <v>19</v>
      </c>
      <c r="E79" s="21">
        <v>100000.0</v>
      </c>
      <c r="F79" s="21">
        <f>sum(F77+E79)</f>
        <v>1300000</v>
      </c>
      <c r="H79" s="8">
        <v>14.0</v>
      </c>
      <c r="I79" s="20">
        <v>46162.0</v>
      </c>
      <c r="J79" s="22" t="s">
        <v>22</v>
      </c>
      <c r="K79" s="21">
        <v>100000.0</v>
      </c>
      <c r="L79" s="21">
        <f t="shared" si="24"/>
        <v>1100000</v>
      </c>
      <c r="N79" s="8">
        <v>15.0</v>
      </c>
      <c r="O79" s="20">
        <v>46192.0</v>
      </c>
      <c r="P79" s="22" t="s">
        <v>20</v>
      </c>
      <c r="Q79" s="21">
        <v>100000.0</v>
      </c>
      <c r="R79" s="21">
        <f t="shared" si="23"/>
        <v>1250000</v>
      </c>
    </row>
    <row r="80">
      <c r="B80" s="8">
        <v>15.0</v>
      </c>
      <c r="C80" s="20">
        <v>46133.0</v>
      </c>
      <c r="D80" s="22" t="s">
        <v>21</v>
      </c>
      <c r="E80" s="21">
        <v>100000.0</v>
      </c>
      <c r="F80" s="21">
        <f t="shared" ref="F80:F83" si="25">sum(F79+E80)</f>
        <v>1400000</v>
      </c>
      <c r="H80" s="8">
        <v>15.0</v>
      </c>
      <c r="I80" s="20">
        <v>46163.0</v>
      </c>
      <c r="J80" s="22" t="s">
        <v>18</v>
      </c>
      <c r="K80" s="21">
        <v>100000.0</v>
      </c>
      <c r="L80" s="21">
        <f t="shared" si="24"/>
        <v>1200000</v>
      </c>
      <c r="Q80" s="21"/>
      <c r="R80" s="21"/>
    </row>
    <row r="81">
      <c r="B81" s="8">
        <v>16.0</v>
      </c>
      <c r="C81" s="20">
        <v>46134.0</v>
      </c>
      <c r="D81" s="22" t="s">
        <v>22</v>
      </c>
      <c r="E81" s="21">
        <v>100000.0</v>
      </c>
      <c r="F81" s="21">
        <f t="shared" si="25"/>
        <v>1500000</v>
      </c>
      <c r="H81" s="8">
        <v>16.0</v>
      </c>
      <c r="I81" s="20">
        <v>46164.0</v>
      </c>
      <c r="J81" s="22" t="s">
        <v>20</v>
      </c>
      <c r="K81" s="21">
        <v>100000.0</v>
      </c>
      <c r="L81" s="21">
        <f t="shared" si="24"/>
        <v>1300000</v>
      </c>
      <c r="N81" s="8">
        <v>16.0</v>
      </c>
      <c r="O81" s="20">
        <v>46195.0</v>
      </c>
      <c r="P81" s="22" t="s">
        <v>19</v>
      </c>
      <c r="Q81" s="21">
        <v>100000.0</v>
      </c>
      <c r="R81" s="21">
        <f>sum(R79+Q81)</f>
        <v>1350000</v>
      </c>
    </row>
    <row r="82">
      <c r="B82" s="8">
        <v>17.0</v>
      </c>
      <c r="C82" s="20">
        <v>46135.0</v>
      </c>
      <c r="D82" s="22" t="s">
        <v>18</v>
      </c>
      <c r="E82" s="21">
        <v>100000.0</v>
      </c>
      <c r="F82" s="21">
        <f t="shared" si="25"/>
        <v>1600000</v>
      </c>
      <c r="H82" s="8"/>
      <c r="K82" s="21"/>
      <c r="L82" s="21"/>
      <c r="N82" s="8">
        <v>17.0</v>
      </c>
      <c r="O82" s="20">
        <v>46196.0</v>
      </c>
      <c r="P82" s="22" t="s">
        <v>21</v>
      </c>
      <c r="Q82" s="21">
        <v>100000.0</v>
      </c>
      <c r="R82" s="21">
        <f t="shared" ref="R82:R85" si="26">sum(R81+Q82)</f>
        <v>1450000</v>
      </c>
    </row>
    <row r="83">
      <c r="B83" s="8">
        <v>18.0</v>
      </c>
      <c r="C83" s="20">
        <v>46136.0</v>
      </c>
      <c r="D83" s="22" t="s">
        <v>20</v>
      </c>
      <c r="E83" s="21">
        <v>100000.0</v>
      </c>
      <c r="F83" s="21">
        <f t="shared" si="25"/>
        <v>1700000</v>
      </c>
      <c r="H83" s="8">
        <v>17.0</v>
      </c>
      <c r="I83" s="20">
        <v>46167.0</v>
      </c>
      <c r="J83" s="22" t="s">
        <v>19</v>
      </c>
      <c r="K83" s="21">
        <v>50000.0</v>
      </c>
      <c r="L83" s="21">
        <f>sum(L81+K83)</f>
        <v>1350000</v>
      </c>
      <c r="N83" s="8">
        <v>18.0</v>
      </c>
      <c r="O83" s="20">
        <v>46197.0</v>
      </c>
      <c r="P83" s="22" t="s">
        <v>22</v>
      </c>
      <c r="Q83" s="21">
        <v>100000.0</v>
      </c>
      <c r="R83" s="21">
        <f t="shared" si="26"/>
        <v>1550000</v>
      </c>
    </row>
    <row r="84">
      <c r="B84" s="8"/>
      <c r="D84" s="22"/>
      <c r="E84" s="21"/>
      <c r="F84" s="21"/>
      <c r="H84" s="8">
        <v>18.0</v>
      </c>
      <c r="I84" s="20">
        <v>46168.0</v>
      </c>
      <c r="J84" s="22" t="s">
        <v>21</v>
      </c>
      <c r="K84" s="21">
        <v>100000.0</v>
      </c>
      <c r="L84" s="21">
        <f t="shared" ref="L84:L87" si="27">sum(L83+K84)</f>
        <v>1450000</v>
      </c>
      <c r="N84" s="8">
        <v>19.0</v>
      </c>
      <c r="O84" s="20">
        <v>46198.0</v>
      </c>
      <c r="P84" s="22" t="s">
        <v>18</v>
      </c>
      <c r="Q84" s="21">
        <v>100000.0</v>
      </c>
      <c r="R84" s="21">
        <f t="shared" si="26"/>
        <v>1650000</v>
      </c>
    </row>
    <row r="85">
      <c r="B85" s="8">
        <v>19.0</v>
      </c>
      <c r="C85" s="20">
        <v>46139.0</v>
      </c>
      <c r="D85" s="22" t="s">
        <v>19</v>
      </c>
      <c r="E85" s="21">
        <v>100000.0</v>
      </c>
      <c r="F85" s="21">
        <f>sum(F83+E85)</f>
        <v>1800000</v>
      </c>
      <c r="H85" s="8">
        <v>19.0</v>
      </c>
      <c r="I85" s="20">
        <v>46169.0</v>
      </c>
      <c r="J85" s="22" t="s">
        <v>22</v>
      </c>
      <c r="K85" s="21">
        <v>0.0</v>
      </c>
      <c r="L85" s="21">
        <f t="shared" si="27"/>
        <v>1450000</v>
      </c>
      <c r="N85" s="8">
        <v>20.0</v>
      </c>
      <c r="O85" s="20">
        <v>46199.0</v>
      </c>
      <c r="P85" s="22" t="s">
        <v>20</v>
      </c>
      <c r="Q85" s="21">
        <v>100000.0</v>
      </c>
      <c r="R85" s="21">
        <f t="shared" si="26"/>
        <v>1750000</v>
      </c>
    </row>
    <row r="86">
      <c r="B86" s="8">
        <v>20.0</v>
      </c>
      <c r="C86" s="20">
        <v>46140.0</v>
      </c>
      <c r="D86" s="22" t="s">
        <v>21</v>
      </c>
      <c r="E86" s="21">
        <v>100000.0</v>
      </c>
      <c r="F86" s="21">
        <f t="shared" ref="F86:F88" si="28">sum(F85+E86)</f>
        <v>1900000</v>
      </c>
      <c r="H86" s="8">
        <v>20.0</v>
      </c>
      <c r="I86" s="20">
        <v>46170.0</v>
      </c>
      <c r="J86" s="22" t="s">
        <v>18</v>
      </c>
      <c r="K86" s="21">
        <v>0.0</v>
      </c>
      <c r="L86" s="21">
        <f t="shared" si="27"/>
        <v>1450000</v>
      </c>
      <c r="N86" s="8"/>
      <c r="Q86" s="21"/>
      <c r="R86" s="21"/>
    </row>
    <row r="87">
      <c r="B87" s="8">
        <v>21.0</v>
      </c>
      <c r="C87" s="20">
        <v>46141.0</v>
      </c>
      <c r="D87" s="22" t="s">
        <v>22</v>
      </c>
      <c r="E87" s="21">
        <v>100000.0</v>
      </c>
      <c r="F87" s="21">
        <f t="shared" si="28"/>
        <v>2000000</v>
      </c>
      <c r="H87" s="8">
        <v>21.0</v>
      </c>
      <c r="I87" s="20">
        <v>46171.0</v>
      </c>
      <c r="J87" s="22" t="s">
        <v>20</v>
      </c>
      <c r="K87" s="21">
        <v>0.0</v>
      </c>
      <c r="L87" s="21">
        <f t="shared" si="27"/>
        <v>1450000</v>
      </c>
      <c r="N87" s="8">
        <v>21.0</v>
      </c>
      <c r="O87" s="20">
        <v>46202.0</v>
      </c>
      <c r="P87" s="22" t="s">
        <v>19</v>
      </c>
      <c r="Q87" s="21">
        <v>100000.0</v>
      </c>
      <c r="R87" s="21">
        <f>sum(R85+Q87)</f>
        <v>1850000</v>
      </c>
    </row>
    <row r="88">
      <c r="B88" s="8">
        <v>22.0</v>
      </c>
      <c r="C88" s="20">
        <v>46142.0</v>
      </c>
      <c r="D88" s="22" t="s">
        <v>18</v>
      </c>
      <c r="E88" s="21">
        <v>100000.0</v>
      </c>
      <c r="F88" s="21">
        <f t="shared" si="28"/>
        <v>2100000</v>
      </c>
      <c r="H88" s="13" t="s">
        <v>29</v>
      </c>
      <c r="K88" s="23">
        <f>L87</f>
        <v>1450000</v>
      </c>
      <c r="N88" s="8">
        <v>22.0</v>
      </c>
      <c r="O88" s="20">
        <v>46203.0</v>
      </c>
      <c r="P88" s="22" t="s">
        <v>21</v>
      </c>
      <c r="Q88" s="21">
        <v>70000.0</v>
      </c>
      <c r="R88" s="21">
        <f>sum(R87+Q88)</f>
        <v>1920000</v>
      </c>
    </row>
    <row r="89">
      <c r="B89" s="13" t="s">
        <v>30</v>
      </c>
      <c r="E89" s="23">
        <f>F88</f>
        <v>2100000</v>
      </c>
      <c r="N89" s="13" t="s">
        <v>31</v>
      </c>
      <c r="Q89" s="23">
        <f>R88</f>
        <v>1920000</v>
      </c>
    </row>
    <row r="90">
      <c r="O90" s="20"/>
    </row>
    <row r="92">
      <c r="B92" s="18" t="s">
        <v>32</v>
      </c>
      <c r="H92" s="18" t="s">
        <v>33</v>
      </c>
      <c r="N92" s="18" t="s">
        <v>34</v>
      </c>
    </row>
    <row r="94">
      <c r="B94" s="27" t="s">
        <v>6</v>
      </c>
      <c r="C94" s="27" t="s">
        <v>17</v>
      </c>
      <c r="D94" s="27" t="s">
        <v>11</v>
      </c>
      <c r="E94" s="27" t="s">
        <v>9</v>
      </c>
      <c r="F94" s="27" t="s">
        <v>10</v>
      </c>
      <c r="H94" s="26" t="s">
        <v>6</v>
      </c>
      <c r="I94" s="26" t="s">
        <v>17</v>
      </c>
      <c r="J94" s="26" t="s">
        <v>11</v>
      </c>
      <c r="K94" s="26" t="s">
        <v>9</v>
      </c>
      <c r="L94" s="26" t="s">
        <v>10</v>
      </c>
      <c r="N94" s="26" t="s">
        <v>6</v>
      </c>
      <c r="O94" s="26" t="s">
        <v>17</v>
      </c>
      <c r="P94" s="26" t="s">
        <v>11</v>
      </c>
      <c r="Q94" s="26" t="s">
        <v>9</v>
      </c>
      <c r="R94" s="26" t="s">
        <v>10</v>
      </c>
    </row>
    <row r="95">
      <c r="B95" s="8">
        <v>1.0</v>
      </c>
      <c r="C95" s="20">
        <v>46204.0</v>
      </c>
      <c r="D95" s="12" t="s">
        <v>22</v>
      </c>
      <c r="E95" s="21">
        <v>70000.0</v>
      </c>
      <c r="F95" s="21">
        <f>(E95)</f>
        <v>70000</v>
      </c>
      <c r="H95" s="8">
        <v>1.0</v>
      </c>
      <c r="I95" s="20">
        <v>46237.0</v>
      </c>
      <c r="J95" s="22" t="s">
        <v>19</v>
      </c>
      <c r="K95" s="21">
        <v>70000.0</v>
      </c>
      <c r="L95" s="21">
        <f>(K95)</f>
        <v>70000</v>
      </c>
      <c r="N95" s="8">
        <v>1.0</v>
      </c>
      <c r="O95" s="20">
        <v>46266.0</v>
      </c>
      <c r="P95" s="24" t="s">
        <v>21</v>
      </c>
      <c r="Q95" s="21">
        <v>0.0</v>
      </c>
      <c r="R95" s="21">
        <f>(Q95)</f>
        <v>0</v>
      </c>
    </row>
    <row r="96">
      <c r="B96" s="8">
        <v>2.0</v>
      </c>
      <c r="C96" s="20">
        <v>46205.0</v>
      </c>
      <c r="D96" s="12" t="s">
        <v>18</v>
      </c>
      <c r="E96" s="21">
        <v>70000.0</v>
      </c>
      <c r="F96" s="21">
        <f t="shared" ref="F96:F97" si="29">sum(F95+E96)</f>
        <v>140000</v>
      </c>
      <c r="H96" s="8">
        <v>2.0</v>
      </c>
      <c r="I96" s="20">
        <v>46238.0</v>
      </c>
      <c r="J96" s="22" t="s">
        <v>21</v>
      </c>
      <c r="K96" s="21">
        <v>70000.0</v>
      </c>
      <c r="L96" s="21">
        <f t="shared" ref="L96:L99" si="30">sum(L95+K96)</f>
        <v>140000</v>
      </c>
      <c r="N96" s="8">
        <v>2.0</v>
      </c>
      <c r="O96" s="20">
        <v>46267.0</v>
      </c>
      <c r="P96" s="24" t="s">
        <v>22</v>
      </c>
      <c r="Q96" s="21">
        <v>0.0</v>
      </c>
      <c r="R96" s="21">
        <f t="shared" ref="R96:R98" si="31">sum(R95+Q96)</f>
        <v>0</v>
      </c>
    </row>
    <row r="97">
      <c r="B97" s="8">
        <v>3.0</v>
      </c>
      <c r="C97" s="20">
        <v>46206.0</v>
      </c>
      <c r="D97" s="12" t="s">
        <v>20</v>
      </c>
      <c r="E97" s="21">
        <v>70000.0</v>
      </c>
      <c r="F97" s="21">
        <f t="shared" si="29"/>
        <v>210000</v>
      </c>
      <c r="H97" s="8">
        <v>3.0</v>
      </c>
      <c r="I97" s="20">
        <v>46239.0</v>
      </c>
      <c r="J97" s="22" t="s">
        <v>22</v>
      </c>
      <c r="K97" s="21">
        <v>70000.0</v>
      </c>
      <c r="L97" s="21">
        <f t="shared" si="30"/>
        <v>210000</v>
      </c>
      <c r="N97" s="8">
        <v>3.0</v>
      </c>
      <c r="O97" s="20">
        <v>46268.0</v>
      </c>
      <c r="P97" s="24" t="s">
        <v>18</v>
      </c>
      <c r="Q97" s="21">
        <v>0.0</v>
      </c>
      <c r="R97" s="21">
        <f t="shared" si="31"/>
        <v>0</v>
      </c>
    </row>
    <row r="98">
      <c r="C98" s="20"/>
      <c r="E98" s="21"/>
      <c r="F98" s="21"/>
      <c r="H98" s="8">
        <v>4.0</v>
      </c>
      <c r="I98" s="20">
        <v>46240.0</v>
      </c>
      <c r="J98" s="22" t="s">
        <v>18</v>
      </c>
      <c r="K98" s="21">
        <v>70000.0</v>
      </c>
      <c r="L98" s="21">
        <f t="shared" si="30"/>
        <v>280000</v>
      </c>
      <c r="N98" s="8">
        <v>4.0</v>
      </c>
      <c r="O98" s="20">
        <v>46269.0</v>
      </c>
      <c r="P98" s="24" t="s">
        <v>20</v>
      </c>
      <c r="Q98" s="21">
        <v>0.0</v>
      </c>
      <c r="R98" s="21">
        <f t="shared" si="31"/>
        <v>0</v>
      </c>
    </row>
    <row r="99">
      <c r="B99" s="8">
        <v>4.0</v>
      </c>
      <c r="C99" s="20">
        <v>46209.0</v>
      </c>
      <c r="D99" s="22" t="s">
        <v>19</v>
      </c>
      <c r="E99" s="21">
        <v>70000.0</v>
      </c>
      <c r="F99" s="21">
        <f>sum(F97+E99)</f>
        <v>280000</v>
      </c>
      <c r="H99" s="8">
        <v>5.0</v>
      </c>
      <c r="I99" s="20">
        <v>46241.0</v>
      </c>
      <c r="J99" s="22" t="s">
        <v>20</v>
      </c>
      <c r="K99" s="21">
        <v>70000.0</v>
      </c>
      <c r="L99" s="21">
        <f t="shared" si="30"/>
        <v>350000</v>
      </c>
      <c r="N99" s="8"/>
      <c r="O99" s="20"/>
      <c r="P99" s="12"/>
      <c r="Q99" s="21"/>
      <c r="R99" s="21"/>
    </row>
    <row r="100">
      <c r="B100" s="8">
        <v>5.0</v>
      </c>
      <c r="C100" s="20">
        <v>46210.0</v>
      </c>
      <c r="D100" s="22" t="s">
        <v>21</v>
      </c>
      <c r="E100" s="21">
        <v>70000.0</v>
      </c>
      <c r="F100" s="21">
        <f t="shared" ref="F100:F103" si="32">sum(F99+E100)</f>
        <v>350000</v>
      </c>
      <c r="H100" s="8"/>
      <c r="K100" s="21"/>
      <c r="L100" s="21"/>
      <c r="N100" s="8">
        <v>5.0</v>
      </c>
      <c r="O100" s="20">
        <v>46272.0</v>
      </c>
      <c r="P100" s="24" t="s">
        <v>19</v>
      </c>
      <c r="Q100" s="21">
        <v>0.0</v>
      </c>
      <c r="R100" s="21">
        <f>sum(R98+Q100)</f>
        <v>0</v>
      </c>
    </row>
    <row r="101">
      <c r="B101" s="8">
        <v>6.0</v>
      </c>
      <c r="C101" s="20">
        <v>46211.0</v>
      </c>
      <c r="D101" s="22" t="s">
        <v>22</v>
      </c>
      <c r="E101" s="21">
        <v>50000.0</v>
      </c>
      <c r="F101" s="21">
        <f t="shared" si="32"/>
        <v>400000</v>
      </c>
      <c r="H101" s="8">
        <v>6.0</v>
      </c>
      <c r="I101" s="20">
        <v>46244.0</v>
      </c>
      <c r="J101" s="22" t="s">
        <v>19</v>
      </c>
      <c r="K101" s="21">
        <v>70000.0</v>
      </c>
      <c r="L101" s="21">
        <f>sum(L99+K101)</f>
        <v>420000</v>
      </c>
      <c r="N101" s="8">
        <v>6.0</v>
      </c>
      <c r="O101" s="20">
        <v>46273.0</v>
      </c>
      <c r="P101" s="24" t="s">
        <v>21</v>
      </c>
      <c r="Q101" s="21">
        <v>0.0</v>
      </c>
      <c r="R101" s="21">
        <f t="shared" ref="R101:R104" si="33">sum(R100+Q101)</f>
        <v>0</v>
      </c>
    </row>
    <row r="102">
      <c r="B102" s="8">
        <v>7.0</v>
      </c>
      <c r="C102" s="20">
        <v>46212.0</v>
      </c>
      <c r="D102" s="22" t="s">
        <v>18</v>
      </c>
      <c r="E102" s="21">
        <v>70000.0</v>
      </c>
      <c r="F102" s="21">
        <f t="shared" si="32"/>
        <v>470000</v>
      </c>
      <c r="H102" s="8">
        <v>7.0</v>
      </c>
      <c r="I102" s="20">
        <v>46245.0</v>
      </c>
      <c r="J102" s="22" t="s">
        <v>21</v>
      </c>
      <c r="K102" s="21">
        <v>70000.0</v>
      </c>
      <c r="L102" s="21">
        <f t="shared" ref="L102:L105" si="34">sum(L101+K102)</f>
        <v>490000</v>
      </c>
      <c r="N102" s="8">
        <v>7.0</v>
      </c>
      <c r="O102" s="20">
        <v>46274.0</v>
      </c>
      <c r="P102" s="24" t="s">
        <v>22</v>
      </c>
      <c r="Q102" s="21">
        <v>0.0</v>
      </c>
      <c r="R102" s="21">
        <f t="shared" si="33"/>
        <v>0</v>
      </c>
    </row>
    <row r="103">
      <c r="B103" s="8">
        <v>8.0</v>
      </c>
      <c r="C103" s="20">
        <v>46213.0</v>
      </c>
      <c r="D103" s="22" t="s">
        <v>20</v>
      </c>
      <c r="E103" s="21">
        <v>70000.0</v>
      </c>
      <c r="F103" s="21">
        <f t="shared" si="32"/>
        <v>540000</v>
      </c>
      <c r="H103" s="8">
        <v>8.0</v>
      </c>
      <c r="I103" s="20">
        <v>46246.0</v>
      </c>
      <c r="J103" s="22" t="s">
        <v>22</v>
      </c>
      <c r="K103" s="21">
        <v>70000.0</v>
      </c>
      <c r="L103" s="21">
        <f t="shared" si="34"/>
        <v>560000</v>
      </c>
      <c r="N103" s="8">
        <v>8.0</v>
      </c>
      <c r="O103" s="20">
        <v>46275.0</v>
      </c>
      <c r="P103" s="24" t="s">
        <v>18</v>
      </c>
      <c r="Q103" s="21">
        <v>0.0</v>
      </c>
      <c r="R103" s="21">
        <f t="shared" si="33"/>
        <v>0</v>
      </c>
    </row>
    <row r="104">
      <c r="B104" s="8"/>
      <c r="E104" s="21"/>
      <c r="F104" s="21"/>
      <c r="H104" s="8">
        <v>9.0</v>
      </c>
      <c r="I104" s="20">
        <v>46247.0</v>
      </c>
      <c r="J104" s="22" t="s">
        <v>18</v>
      </c>
      <c r="K104" s="21">
        <v>70000.0</v>
      </c>
      <c r="L104" s="21">
        <f t="shared" si="34"/>
        <v>630000</v>
      </c>
      <c r="N104" s="8">
        <v>9.0</v>
      </c>
      <c r="O104" s="20">
        <v>46276.0</v>
      </c>
      <c r="P104" s="24" t="s">
        <v>20</v>
      </c>
      <c r="Q104" s="21">
        <v>0.0</v>
      </c>
      <c r="R104" s="21">
        <f t="shared" si="33"/>
        <v>0</v>
      </c>
    </row>
    <row r="105">
      <c r="B105" s="8">
        <v>9.0</v>
      </c>
      <c r="C105" s="20">
        <v>46216.0</v>
      </c>
      <c r="D105" s="22" t="s">
        <v>19</v>
      </c>
      <c r="E105" s="21">
        <v>70000.0</v>
      </c>
      <c r="F105" s="21">
        <f>sum(F103+E105)</f>
        <v>610000</v>
      </c>
      <c r="H105" s="8">
        <v>10.0</v>
      </c>
      <c r="I105" s="20">
        <v>46248.0</v>
      </c>
      <c r="J105" s="22" t="s">
        <v>20</v>
      </c>
      <c r="K105" s="21">
        <v>70000.0</v>
      </c>
      <c r="L105" s="21">
        <f t="shared" si="34"/>
        <v>700000</v>
      </c>
      <c r="N105" s="12"/>
      <c r="O105" s="12"/>
      <c r="P105" s="12"/>
      <c r="Q105" s="21"/>
      <c r="R105" s="21"/>
    </row>
    <row r="106">
      <c r="B106" s="8">
        <v>10.0</v>
      </c>
      <c r="C106" s="20">
        <v>46217.0</v>
      </c>
      <c r="D106" s="22" t="s">
        <v>21</v>
      </c>
      <c r="E106" s="21">
        <v>50000.0</v>
      </c>
      <c r="F106" s="21">
        <f t="shared" ref="F106:F109" si="35">sum(F105+E106)</f>
        <v>660000</v>
      </c>
      <c r="K106" s="21"/>
      <c r="L106" s="21"/>
      <c r="N106" s="8">
        <v>10.0</v>
      </c>
      <c r="O106" s="20">
        <v>46279.0</v>
      </c>
      <c r="P106" s="24" t="s">
        <v>19</v>
      </c>
      <c r="Q106" s="21">
        <v>0.0</v>
      </c>
      <c r="R106" s="21">
        <f>sum(R104+Q106)</f>
        <v>0</v>
      </c>
    </row>
    <row r="107">
      <c r="B107" s="8">
        <v>11.0</v>
      </c>
      <c r="C107" s="20">
        <v>46218.0</v>
      </c>
      <c r="D107" s="22" t="s">
        <v>22</v>
      </c>
      <c r="E107" s="21">
        <v>70000.0</v>
      </c>
      <c r="F107" s="21">
        <f t="shared" si="35"/>
        <v>730000</v>
      </c>
      <c r="H107" s="8">
        <v>11.0</v>
      </c>
      <c r="I107" s="20">
        <v>46251.0</v>
      </c>
      <c r="J107" s="22" t="s">
        <v>19</v>
      </c>
      <c r="K107" s="21">
        <v>0.0</v>
      </c>
      <c r="L107" s="21">
        <f>sum(L105+K107)</f>
        <v>700000</v>
      </c>
      <c r="N107" s="8">
        <v>11.0</v>
      </c>
      <c r="O107" s="20">
        <v>46280.0</v>
      </c>
      <c r="P107" s="24" t="s">
        <v>21</v>
      </c>
      <c r="Q107" s="21">
        <v>0.0</v>
      </c>
      <c r="R107" s="21">
        <f t="shared" ref="R107:R110" si="36">sum(R106+Q107)</f>
        <v>0</v>
      </c>
    </row>
    <row r="108">
      <c r="B108" s="8">
        <v>12.0</v>
      </c>
      <c r="C108" s="20">
        <v>46219.0</v>
      </c>
      <c r="D108" s="22" t="s">
        <v>18</v>
      </c>
      <c r="E108" s="21">
        <v>50000.0</v>
      </c>
      <c r="F108" s="21">
        <f t="shared" si="35"/>
        <v>780000</v>
      </c>
      <c r="H108" s="8">
        <v>12.0</v>
      </c>
      <c r="I108" s="20">
        <v>46252.0</v>
      </c>
      <c r="J108" s="22" t="s">
        <v>21</v>
      </c>
      <c r="K108" s="21">
        <v>70000.0</v>
      </c>
      <c r="L108" s="21">
        <f t="shared" ref="L108:L111" si="37">sum(L107+K108)</f>
        <v>770000</v>
      </c>
      <c r="N108" s="8">
        <v>12.0</v>
      </c>
      <c r="O108" s="20">
        <v>46281.0</v>
      </c>
      <c r="P108" s="24" t="s">
        <v>22</v>
      </c>
      <c r="Q108" s="21">
        <v>0.0</v>
      </c>
      <c r="R108" s="21">
        <f t="shared" si="36"/>
        <v>0</v>
      </c>
    </row>
    <row r="109">
      <c r="B109" s="8">
        <v>13.0</v>
      </c>
      <c r="C109" s="20">
        <v>46220.0</v>
      </c>
      <c r="D109" s="22" t="s">
        <v>20</v>
      </c>
      <c r="E109" s="21">
        <v>70000.0</v>
      </c>
      <c r="F109" s="21">
        <f t="shared" si="35"/>
        <v>850000</v>
      </c>
      <c r="H109" s="8">
        <v>13.0</v>
      </c>
      <c r="I109" s="20">
        <v>46253.0</v>
      </c>
      <c r="J109" s="22" t="s">
        <v>22</v>
      </c>
      <c r="K109" s="21">
        <v>70000.0</v>
      </c>
      <c r="L109" s="21">
        <f t="shared" si="37"/>
        <v>840000</v>
      </c>
      <c r="N109" s="8">
        <v>13.0</v>
      </c>
      <c r="O109" s="20">
        <v>46282.0</v>
      </c>
      <c r="P109" s="24" t="s">
        <v>18</v>
      </c>
      <c r="Q109" s="21">
        <v>0.0</v>
      </c>
      <c r="R109" s="21">
        <f t="shared" si="36"/>
        <v>0</v>
      </c>
    </row>
    <row r="110">
      <c r="B110" s="8"/>
      <c r="E110" s="21"/>
      <c r="F110" s="21"/>
      <c r="H110" s="8">
        <v>14.0</v>
      </c>
      <c r="I110" s="20">
        <v>46254.0</v>
      </c>
      <c r="J110" s="22" t="s">
        <v>18</v>
      </c>
      <c r="K110" s="21">
        <v>0.0</v>
      </c>
      <c r="L110" s="21">
        <f t="shared" si="37"/>
        <v>840000</v>
      </c>
      <c r="N110" s="8">
        <v>14.0</v>
      </c>
      <c r="O110" s="20">
        <v>46283.0</v>
      </c>
      <c r="P110" s="24" t="s">
        <v>20</v>
      </c>
      <c r="Q110" s="21">
        <v>0.0</v>
      </c>
      <c r="R110" s="21">
        <f t="shared" si="36"/>
        <v>0</v>
      </c>
    </row>
    <row r="111">
      <c r="B111" s="8">
        <v>14.0</v>
      </c>
      <c r="C111" s="20">
        <v>46223.0</v>
      </c>
      <c r="D111" s="22" t="s">
        <v>19</v>
      </c>
      <c r="E111" s="21">
        <v>60000.0</v>
      </c>
      <c r="F111" s="21">
        <f>sum(F109+E111)</f>
        <v>910000</v>
      </c>
      <c r="H111" s="8">
        <v>15.0</v>
      </c>
      <c r="I111" s="20">
        <v>46255.0</v>
      </c>
      <c r="J111" s="22" t="s">
        <v>20</v>
      </c>
      <c r="K111" s="21">
        <v>0.0</v>
      </c>
      <c r="L111" s="21">
        <f t="shared" si="37"/>
        <v>840000</v>
      </c>
      <c r="N111" s="12"/>
      <c r="O111" s="12"/>
      <c r="P111" s="12"/>
      <c r="Q111" s="21"/>
      <c r="R111" s="21"/>
    </row>
    <row r="112">
      <c r="B112" s="8">
        <v>15.0</v>
      </c>
      <c r="C112" s="20">
        <v>46224.0</v>
      </c>
      <c r="D112" s="22" t="s">
        <v>21</v>
      </c>
      <c r="E112" s="21">
        <v>70000.0</v>
      </c>
      <c r="F112" s="21">
        <f t="shared" ref="F112:F115" si="38">sum(F111+E112)</f>
        <v>980000</v>
      </c>
      <c r="K112" s="21"/>
      <c r="L112" s="21"/>
      <c r="N112" s="8">
        <v>15.0</v>
      </c>
      <c r="O112" s="20">
        <v>46286.0</v>
      </c>
      <c r="P112" s="24" t="s">
        <v>19</v>
      </c>
      <c r="Q112" s="21">
        <v>0.0</v>
      </c>
      <c r="R112" s="21">
        <f>sum(R110+Q112)</f>
        <v>0</v>
      </c>
    </row>
    <row r="113">
      <c r="B113" s="8">
        <v>16.0</v>
      </c>
      <c r="C113" s="20">
        <v>46225.0</v>
      </c>
      <c r="D113" s="22" t="s">
        <v>22</v>
      </c>
      <c r="E113" s="21">
        <v>70000.0</v>
      </c>
      <c r="F113" s="21">
        <f t="shared" si="38"/>
        <v>1050000</v>
      </c>
      <c r="H113" s="8">
        <v>16.0</v>
      </c>
      <c r="I113" s="20">
        <v>46258.0</v>
      </c>
      <c r="J113" s="22" t="s">
        <v>19</v>
      </c>
      <c r="K113" s="21">
        <v>0.0</v>
      </c>
      <c r="L113" s="21">
        <f>sum(L111+K113)</f>
        <v>840000</v>
      </c>
      <c r="N113" s="8">
        <v>16.0</v>
      </c>
      <c r="O113" s="20">
        <v>46287.0</v>
      </c>
      <c r="P113" s="24" t="s">
        <v>21</v>
      </c>
      <c r="Q113" s="21">
        <v>0.0</v>
      </c>
      <c r="R113" s="21">
        <f t="shared" ref="R113:R116" si="39">sum(R112+Q113)</f>
        <v>0</v>
      </c>
    </row>
    <row r="114">
      <c r="B114" s="8">
        <v>17.0</v>
      </c>
      <c r="C114" s="20">
        <v>46226.0</v>
      </c>
      <c r="D114" s="22" t="s">
        <v>18</v>
      </c>
      <c r="E114" s="21">
        <v>70000.0</v>
      </c>
      <c r="F114" s="21">
        <f t="shared" si="38"/>
        <v>1120000</v>
      </c>
      <c r="H114" s="8">
        <v>17.0</v>
      </c>
      <c r="I114" s="20">
        <v>46259.0</v>
      </c>
      <c r="J114" s="22" t="s">
        <v>21</v>
      </c>
      <c r="K114" s="21">
        <v>0.0</v>
      </c>
      <c r="L114" s="21">
        <f t="shared" ref="L114:L117" si="40">sum(L113+K114)</f>
        <v>840000</v>
      </c>
      <c r="N114" s="8">
        <v>17.0</v>
      </c>
      <c r="O114" s="20">
        <v>46288.0</v>
      </c>
      <c r="P114" s="24" t="s">
        <v>22</v>
      </c>
      <c r="Q114" s="21">
        <v>0.0</v>
      </c>
      <c r="R114" s="21">
        <f t="shared" si="39"/>
        <v>0</v>
      </c>
    </row>
    <row r="115">
      <c r="B115" s="8">
        <v>18.0</v>
      </c>
      <c r="C115" s="20">
        <v>46227.0</v>
      </c>
      <c r="D115" s="22" t="s">
        <v>20</v>
      </c>
      <c r="E115" s="21">
        <v>50000.0</v>
      </c>
      <c r="F115" s="21">
        <f t="shared" si="38"/>
        <v>1170000</v>
      </c>
      <c r="H115" s="8">
        <v>18.0</v>
      </c>
      <c r="I115" s="20">
        <v>46260.0</v>
      </c>
      <c r="J115" s="22" t="s">
        <v>22</v>
      </c>
      <c r="K115" s="21">
        <v>0.0</v>
      </c>
      <c r="L115" s="21">
        <f t="shared" si="40"/>
        <v>840000</v>
      </c>
      <c r="N115" s="8">
        <v>18.0</v>
      </c>
      <c r="O115" s="20">
        <v>46289.0</v>
      </c>
      <c r="P115" s="24" t="s">
        <v>18</v>
      </c>
      <c r="Q115" s="21">
        <v>0.0</v>
      </c>
      <c r="R115" s="21">
        <f t="shared" si="39"/>
        <v>0</v>
      </c>
    </row>
    <row r="116">
      <c r="B116" s="8"/>
      <c r="D116" s="22"/>
      <c r="E116" s="21"/>
      <c r="F116" s="21"/>
      <c r="H116" s="8">
        <v>19.0</v>
      </c>
      <c r="I116" s="20">
        <v>46261.0</v>
      </c>
      <c r="J116" s="22" t="s">
        <v>18</v>
      </c>
      <c r="K116" s="21">
        <v>0.0</v>
      </c>
      <c r="L116" s="21">
        <f t="shared" si="40"/>
        <v>840000</v>
      </c>
      <c r="N116" s="8">
        <v>19.0</v>
      </c>
      <c r="O116" s="20">
        <v>46290.0</v>
      </c>
      <c r="P116" s="24" t="s">
        <v>20</v>
      </c>
      <c r="Q116" s="21">
        <v>0.0</v>
      </c>
      <c r="R116" s="21">
        <f t="shared" si="39"/>
        <v>0</v>
      </c>
    </row>
    <row r="117">
      <c r="B117" s="8">
        <v>19.0</v>
      </c>
      <c r="C117" s="20">
        <v>46230.0</v>
      </c>
      <c r="D117" s="22" t="s">
        <v>19</v>
      </c>
      <c r="E117" s="21">
        <v>70000.0</v>
      </c>
      <c r="F117" s="21">
        <f>sum(F115+E117)</f>
        <v>1240000</v>
      </c>
      <c r="H117" s="8">
        <v>20.0</v>
      </c>
      <c r="I117" s="20">
        <v>46262.0</v>
      </c>
      <c r="J117" s="22" t="s">
        <v>20</v>
      </c>
      <c r="K117" s="21">
        <v>0.0</v>
      </c>
      <c r="L117" s="21">
        <f t="shared" si="40"/>
        <v>840000</v>
      </c>
      <c r="N117" s="12"/>
      <c r="O117" s="12"/>
      <c r="P117" s="12"/>
      <c r="Q117" s="21"/>
      <c r="R117" s="21"/>
    </row>
    <row r="118">
      <c r="B118" s="8">
        <v>20.0</v>
      </c>
      <c r="C118" s="20">
        <v>46231.0</v>
      </c>
      <c r="D118" s="22" t="s">
        <v>21</v>
      </c>
      <c r="E118" s="21">
        <v>70000.0</v>
      </c>
      <c r="F118" s="21">
        <f t="shared" ref="F118:F121" si="41">sum(F117+E118)</f>
        <v>1310000</v>
      </c>
      <c r="K118" s="21"/>
      <c r="L118" s="21"/>
      <c r="N118" s="8">
        <v>20.0</v>
      </c>
      <c r="O118" s="20">
        <v>46293.0</v>
      </c>
      <c r="P118" s="24" t="s">
        <v>19</v>
      </c>
      <c r="Q118" s="21">
        <v>0.0</v>
      </c>
      <c r="R118" s="21">
        <f>sum(R116+Q118)</f>
        <v>0</v>
      </c>
    </row>
    <row r="119">
      <c r="B119" s="8">
        <v>21.0</v>
      </c>
      <c r="C119" s="20">
        <v>46232.0</v>
      </c>
      <c r="D119" s="22" t="s">
        <v>22</v>
      </c>
      <c r="E119" s="21">
        <v>70000.0</v>
      </c>
      <c r="F119" s="21">
        <f t="shared" si="41"/>
        <v>1380000</v>
      </c>
      <c r="H119" s="8">
        <v>21.0</v>
      </c>
      <c r="I119" s="20">
        <v>46265.0</v>
      </c>
      <c r="J119" s="22" t="s">
        <v>19</v>
      </c>
      <c r="K119" s="21">
        <v>0.0</v>
      </c>
      <c r="L119" s="21">
        <f>sum(L117+K119)</f>
        <v>840000</v>
      </c>
      <c r="N119" s="8">
        <v>21.0</v>
      </c>
      <c r="O119" s="20">
        <v>46294.0</v>
      </c>
      <c r="P119" s="24" t="s">
        <v>21</v>
      </c>
      <c r="Q119" s="21">
        <v>0.0</v>
      </c>
      <c r="R119" s="21">
        <f t="shared" ref="R119:R120" si="42">sum(R118+Q119)</f>
        <v>0</v>
      </c>
    </row>
    <row r="120">
      <c r="B120" s="8">
        <v>22.0</v>
      </c>
      <c r="C120" s="20">
        <v>46233.0</v>
      </c>
      <c r="D120" s="22" t="s">
        <v>18</v>
      </c>
      <c r="E120" s="21">
        <v>70000.0</v>
      </c>
      <c r="F120" s="21">
        <f t="shared" si="41"/>
        <v>1450000</v>
      </c>
      <c r="H120" s="13" t="s">
        <v>35</v>
      </c>
      <c r="K120" s="23">
        <f>L119</f>
        <v>840000</v>
      </c>
      <c r="N120" s="8">
        <v>22.0</v>
      </c>
      <c r="O120" s="20">
        <v>46295.0</v>
      </c>
      <c r="P120" s="24" t="s">
        <v>22</v>
      </c>
      <c r="Q120" s="21">
        <v>0.0</v>
      </c>
      <c r="R120" s="21">
        <f t="shared" si="42"/>
        <v>0</v>
      </c>
    </row>
    <row r="121">
      <c r="B121" s="8">
        <v>23.0</v>
      </c>
      <c r="C121" s="20">
        <v>46234.0</v>
      </c>
      <c r="D121" s="22" t="s">
        <v>20</v>
      </c>
      <c r="E121" s="21">
        <v>70000.0</v>
      </c>
      <c r="F121" s="21">
        <f t="shared" si="41"/>
        <v>1520000</v>
      </c>
      <c r="N121" s="13" t="s">
        <v>36</v>
      </c>
      <c r="Q121" s="23">
        <f>R120</f>
        <v>0</v>
      </c>
    </row>
    <row r="122">
      <c r="B122" s="13" t="s">
        <v>37</v>
      </c>
      <c r="E122" s="23">
        <f>F121</f>
        <v>1520000</v>
      </c>
    </row>
    <row r="123">
      <c r="I123" s="20"/>
    </row>
    <row r="124">
      <c r="I124" s="20"/>
    </row>
    <row r="125">
      <c r="B125" s="28" t="s">
        <v>38</v>
      </c>
      <c r="H125" s="28" t="s">
        <v>39</v>
      </c>
      <c r="N125" s="28" t="s">
        <v>40</v>
      </c>
    </row>
    <row r="127">
      <c r="B127" s="26" t="s">
        <v>6</v>
      </c>
      <c r="C127" s="26" t="s">
        <v>17</v>
      </c>
      <c r="D127" s="26" t="s">
        <v>11</v>
      </c>
      <c r="E127" s="26" t="s">
        <v>9</v>
      </c>
      <c r="F127" s="26" t="s">
        <v>10</v>
      </c>
      <c r="H127" s="26" t="s">
        <v>6</v>
      </c>
      <c r="I127" s="26" t="s">
        <v>17</v>
      </c>
      <c r="J127" s="26" t="s">
        <v>11</v>
      </c>
      <c r="K127" s="26" t="s">
        <v>9</v>
      </c>
      <c r="L127" s="26" t="s">
        <v>10</v>
      </c>
      <c r="N127" s="26" t="s">
        <v>6</v>
      </c>
      <c r="O127" s="26" t="s">
        <v>17</v>
      </c>
      <c r="P127" s="26" t="s">
        <v>11</v>
      </c>
      <c r="Q127" s="26" t="s">
        <v>9</v>
      </c>
      <c r="R127" s="26" t="s">
        <v>10</v>
      </c>
    </row>
    <row r="128">
      <c r="B128" s="8">
        <v>1.0</v>
      </c>
      <c r="C128" s="20">
        <v>46296.0</v>
      </c>
      <c r="D128" s="12" t="s">
        <v>18</v>
      </c>
      <c r="E128" s="21">
        <v>0.0</v>
      </c>
      <c r="F128" s="21">
        <f>(E128)</f>
        <v>0</v>
      </c>
      <c r="H128" s="8">
        <v>1.0</v>
      </c>
      <c r="I128" s="29">
        <v>46328.0</v>
      </c>
      <c r="J128" s="22" t="s">
        <v>19</v>
      </c>
      <c r="K128" s="21">
        <v>0.0</v>
      </c>
      <c r="L128" s="21">
        <f>(K128)</f>
        <v>0</v>
      </c>
      <c r="N128" s="8">
        <v>1.0</v>
      </c>
      <c r="O128" s="20">
        <v>46357.0</v>
      </c>
      <c r="P128" s="22" t="s">
        <v>21</v>
      </c>
      <c r="Q128" s="21">
        <v>0.0</v>
      </c>
      <c r="R128" s="21">
        <f>(Q128)</f>
        <v>0</v>
      </c>
    </row>
    <row r="129">
      <c r="B129" s="8">
        <v>2.0</v>
      </c>
      <c r="C129" s="20">
        <v>46297.0</v>
      </c>
      <c r="D129" s="12" t="s">
        <v>20</v>
      </c>
      <c r="E129" s="21">
        <v>0.0</v>
      </c>
      <c r="F129" s="21">
        <f>sum(F128+E129)</f>
        <v>0</v>
      </c>
      <c r="H129" s="8">
        <v>2.0</v>
      </c>
      <c r="I129" s="29">
        <v>46329.0</v>
      </c>
      <c r="J129" s="22" t="s">
        <v>21</v>
      </c>
      <c r="K129" s="21">
        <v>0.0</v>
      </c>
      <c r="L129" s="21">
        <f t="shared" ref="L129:L132" si="43">sum(L128+K129)</f>
        <v>0</v>
      </c>
      <c r="N129" s="8">
        <v>2.0</v>
      </c>
      <c r="O129" s="20">
        <v>46358.0</v>
      </c>
      <c r="P129" s="22" t="s">
        <v>22</v>
      </c>
      <c r="Q129" s="21">
        <v>0.0</v>
      </c>
      <c r="R129" s="21">
        <f t="shared" ref="R129:R131" si="44">sum(R128+Q129)</f>
        <v>0</v>
      </c>
    </row>
    <row r="130">
      <c r="C130" s="20"/>
      <c r="E130" s="21"/>
      <c r="F130" s="21"/>
      <c r="H130" s="8">
        <v>3.0</v>
      </c>
      <c r="I130" s="29">
        <v>46330.0</v>
      </c>
      <c r="J130" s="22" t="s">
        <v>22</v>
      </c>
      <c r="K130" s="21">
        <v>0.0</v>
      </c>
      <c r="L130" s="21">
        <f t="shared" si="43"/>
        <v>0</v>
      </c>
      <c r="N130" s="8">
        <v>3.0</v>
      </c>
      <c r="O130" s="20">
        <v>46359.0</v>
      </c>
      <c r="P130" s="22" t="s">
        <v>18</v>
      </c>
      <c r="Q130" s="21">
        <v>0.0</v>
      </c>
      <c r="R130" s="21">
        <f t="shared" si="44"/>
        <v>0</v>
      </c>
    </row>
    <row r="131">
      <c r="B131" s="8">
        <v>3.0</v>
      </c>
      <c r="C131" s="20">
        <v>46300.0</v>
      </c>
      <c r="D131" s="22" t="s">
        <v>19</v>
      </c>
      <c r="E131" s="21">
        <v>0.0</v>
      </c>
      <c r="F131" s="21">
        <f>sum(F129+E131)</f>
        <v>0</v>
      </c>
      <c r="H131" s="8">
        <v>4.0</v>
      </c>
      <c r="I131" s="29">
        <v>46331.0</v>
      </c>
      <c r="J131" s="22" t="s">
        <v>18</v>
      </c>
      <c r="K131" s="21">
        <v>0.0</v>
      </c>
      <c r="L131" s="21">
        <f t="shared" si="43"/>
        <v>0</v>
      </c>
      <c r="N131" s="8">
        <v>4.0</v>
      </c>
      <c r="O131" s="20">
        <v>46360.0</v>
      </c>
      <c r="P131" s="22" t="s">
        <v>20</v>
      </c>
      <c r="Q131" s="21">
        <v>0.0</v>
      </c>
      <c r="R131" s="21">
        <f t="shared" si="44"/>
        <v>0</v>
      </c>
    </row>
    <row r="132">
      <c r="B132" s="8">
        <v>4.0</v>
      </c>
      <c r="C132" s="20">
        <v>46301.0</v>
      </c>
      <c r="D132" s="22" t="s">
        <v>21</v>
      </c>
      <c r="E132" s="21">
        <v>0.0</v>
      </c>
      <c r="F132" s="21">
        <f t="shared" ref="F132:F135" si="45">sum(F131+E132)</f>
        <v>0</v>
      </c>
      <c r="H132" s="8">
        <v>5.0</v>
      </c>
      <c r="I132" s="29">
        <v>46332.0</v>
      </c>
      <c r="J132" s="22" t="s">
        <v>20</v>
      </c>
      <c r="K132" s="21">
        <v>0.0</v>
      </c>
      <c r="L132" s="21">
        <f t="shared" si="43"/>
        <v>0</v>
      </c>
      <c r="O132" s="20"/>
      <c r="Q132" s="21"/>
      <c r="R132" s="21"/>
    </row>
    <row r="133">
      <c r="B133" s="8">
        <v>5.0</v>
      </c>
      <c r="C133" s="20">
        <v>46302.0</v>
      </c>
      <c r="D133" s="22" t="s">
        <v>22</v>
      </c>
      <c r="E133" s="21">
        <v>0.0</v>
      </c>
      <c r="F133" s="21">
        <f t="shared" si="45"/>
        <v>0</v>
      </c>
      <c r="K133" s="21"/>
      <c r="L133" s="21"/>
      <c r="N133" s="8">
        <v>5.0</v>
      </c>
      <c r="O133" s="20">
        <v>46363.0</v>
      </c>
      <c r="P133" s="22" t="s">
        <v>19</v>
      </c>
      <c r="Q133" s="21">
        <v>0.0</v>
      </c>
      <c r="R133" s="21">
        <f>sum(R131+Q133)</f>
        <v>0</v>
      </c>
    </row>
    <row r="134">
      <c r="B134" s="8">
        <v>6.0</v>
      </c>
      <c r="C134" s="20">
        <v>46303.0</v>
      </c>
      <c r="D134" s="22" t="s">
        <v>18</v>
      </c>
      <c r="E134" s="21">
        <v>0.0</v>
      </c>
      <c r="F134" s="21">
        <f t="shared" si="45"/>
        <v>0</v>
      </c>
      <c r="H134" s="8">
        <v>6.0</v>
      </c>
      <c r="I134" s="29">
        <v>46335.0</v>
      </c>
      <c r="J134" s="22" t="s">
        <v>19</v>
      </c>
      <c r="K134" s="21">
        <v>0.0</v>
      </c>
      <c r="L134" s="21">
        <f>sum(L132+K134)</f>
        <v>0</v>
      </c>
      <c r="N134" s="8">
        <v>6.0</v>
      </c>
      <c r="O134" s="20">
        <v>46364.0</v>
      </c>
      <c r="P134" s="22" t="s">
        <v>21</v>
      </c>
      <c r="Q134" s="21">
        <v>0.0</v>
      </c>
      <c r="R134" s="21">
        <f t="shared" ref="R134:R137" si="46">sum(R133+Q134)</f>
        <v>0</v>
      </c>
    </row>
    <row r="135">
      <c r="B135" s="8">
        <v>7.0</v>
      </c>
      <c r="C135" s="20">
        <v>46304.0</v>
      </c>
      <c r="D135" s="22" t="s">
        <v>20</v>
      </c>
      <c r="E135" s="21">
        <v>0.0</v>
      </c>
      <c r="F135" s="21">
        <f t="shared" si="45"/>
        <v>0</v>
      </c>
      <c r="H135" s="8">
        <v>7.0</v>
      </c>
      <c r="I135" s="30">
        <v>46336.0</v>
      </c>
      <c r="J135" s="22" t="s">
        <v>21</v>
      </c>
      <c r="K135" s="21">
        <v>0.0</v>
      </c>
      <c r="L135" s="21">
        <f t="shared" ref="L135:L138" si="47">sum(L134+K135)</f>
        <v>0</v>
      </c>
      <c r="N135" s="8">
        <v>7.0</v>
      </c>
      <c r="O135" s="20">
        <v>46365.0</v>
      </c>
      <c r="P135" s="22" t="s">
        <v>22</v>
      </c>
      <c r="Q135" s="21">
        <v>0.0</v>
      </c>
      <c r="R135" s="21">
        <f t="shared" si="46"/>
        <v>0</v>
      </c>
    </row>
    <row r="136">
      <c r="E136" s="21"/>
      <c r="F136" s="21"/>
      <c r="H136" s="8">
        <v>8.0</v>
      </c>
      <c r="I136" s="30">
        <v>46337.0</v>
      </c>
      <c r="J136" s="22" t="s">
        <v>22</v>
      </c>
      <c r="K136" s="21">
        <v>0.0</v>
      </c>
      <c r="L136" s="21">
        <f t="shared" si="47"/>
        <v>0</v>
      </c>
      <c r="N136" s="8">
        <v>8.0</v>
      </c>
      <c r="O136" s="20">
        <v>46366.0</v>
      </c>
      <c r="P136" s="22" t="s">
        <v>18</v>
      </c>
      <c r="Q136" s="21">
        <v>0.0</v>
      </c>
      <c r="R136" s="21">
        <f t="shared" si="46"/>
        <v>0</v>
      </c>
    </row>
    <row r="137">
      <c r="B137" s="8">
        <v>8.0</v>
      </c>
      <c r="C137" s="20">
        <v>46307.0</v>
      </c>
      <c r="D137" s="22" t="s">
        <v>19</v>
      </c>
      <c r="E137" s="21">
        <v>0.0</v>
      </c>
      <c r="F137" s="21">
        <f>sum(F135+E137)</f>
        <v>0</v>
      </c>
      <c r="H137" s="8">
        <v>9.0</v>
      </c>
      <c r="I137" s="30">
        <v>46338.0</v>
      </c>
      <c r="J137" s="22" t="s">
        <v>18</v>
      </c>
      <c r="K137" s="21">
        <v>0.0</v>
      </c>
      <c r="L137" s="21">
        <f t="shared" si="47"/>
        <v>0</v>
      </c>
      <c r="N137" s="8">
        <v>9.0</v>
      </c>
      <c r="O137" s="20">
        <v>46367.0</v>
      </c>
      <c r="P137" s="22" t="s">
        <v>20</v>
      </c>
      <c r="Q137" s="21">
        <v>0.0</v>
      </c>
      <c r="R137" s="21">
        <f t="shared" si="46"/>
        <v>0</v>
      </c>
    </row>
    <row r="138">
      <c r="B138" s="8">
        <v>9.0</v>
      </c>
      <c r="C138" s="20">
        <v>46308.0</v>
      </c>
      <c r="D138" s="22" t="s">
        <v>21</v>
      </c>
      <c r="E138" s="21">
        <v>0.0</v>
      </c>
      <c r="F138" s="21">
        <f t="shared" ref="F138:F141" si="48">sum(F137+E138)</f>
        <v>0</v>
      </c>
      <c r="H138" s="8">
        <v>10.0</v>
      </c>
      <c r="I138" s="30">
        <v>46339.0</v>
      </c>
      <c r="J138" s="22" t="s">
        <v>20</v>
      </c>
      <c r="K138" s="21">
        <v>0.0</v>
      </c>
      <c r="L138" s="21">
        <f t="shared" si="47"/>
        <v>0</v>
      </c>
      <c r="Q138" s="21"/>
      <c r="R138" s="21"/>
    </row>
    <row r="139">
      <c r="B139" s="8">
        <v>10.0</v>
      </c>
      <c r="C139" s="20">
        <v>46309.0</v>
      </c>
      <c r="D139" s="22" t="s">
        <v>22</v>
      </c>
      <c r="E139" s="21">
        <v>0.0</v>
      </c>
      <c r="F139" s="21">
        <f t="shared" si="48"/>
        <v>0</v>
      </c>
      <c r="K139" s="21"/>
      <c r="L139" s="21"/>
      <c r="N139" s="8">
        <v>10.0</v>
      </c>
      <c r="O139" s="20">
        <v>46370.0</v>
      </c>
      <c r="P139" s="22" t="s">
        <v>19</v>
      </c>
      <c r="Q139" s="21">
        <v>0.0</v>
      </c>
      <c r="R139" s="21">
        <f>sum(R137+Q139)</f>
        <v>0</v>
      </c>
    </row>
    <row r="140">
      <c r="B140" s="8">
        <v>11.0</v>
      </c>
      <c r="C140" s="20">
        <v>46310.0</v>
      </c>
      <c r="D140" s="22" t="s">
        <v>18</v>
      </c>
      <c r="E140" s="21">
        <v>0.0</v>
      </c>
      <c r="F140" s="21">
        <f t="shared" si="48"/>
        <v>0</v>
      </c>
      <c r="H140" s="8">
        <v>11.0</v>
      </c>
      <c r="I140" s="30">
        <v>46342.0</v>
      </c>
      <c r="J140" s="22" t="s">
        <v>19</v>
      </c>
      <c r="K140" s="21">
        <v>0.0</v>
      </c>
      <c r="L140" s="21">
        <f>sum(L138+K140)</f>
        <v>0</v>
      </c>
      <c r="N140" s="8">
        <v>11.0</v>
      </c>
      <c r="O140" s="20">
        <v>46371.0</v>
      </c>
      <c r="P140" s="22" t="s">
        <v>21</v>
      </c>
      <c r="Q140" s="21">
        <v>0.0</v>
      </c>
      <c r="R140" s="21">
        <f t="shared" ref="R140:R143" si="49">sum(R139+Q140)</f>
        <v>0</v>
      </c>
    </row>
    <row r="141">
      <c r="B141" s="8">
        <v>12.0</v>
      </c>
      <c r="C141" s="20">
        <v>46311.0</v>
      </c>
      <c r="D141" s="22" t="s">
        <v>20</v>
      </c>
      <c r="E141" s="21">
        <v>0.0</v>
      </c>
      <c r="F141" s="21">
        <f t="shared" si="48"/>
        <v>0</v>
      </c>
      <c r="H141" s="8">
        <v>12.0</v>
      </c>
      <c r="I141" s="30">
        <v>46343.0</v>
      </c>
      <c r="J141" s="22" t="s">
        <v>21</v>
      </c>
      <c r="K141" s="21">
        <v>0.0</v>
      </c>
      <c r="L141" s="21">
        <f t="shared" ref="L141:L144" si="50">sum(L140+K141)</f>
        <v>0</v>
      </c>
      <c r="N141" s="8">
        <v>12.0</v>
      </c>
      <c r="O141" s="20">
        <v>46372.0</v>
      </c>
      <c r="P141" s="22" t="s">
        <v>22</v>
      </c>
      <c r="Q141" s="21">
        <v>0.0</v>
      </c>
      <c r="R141" s="21">
        <f t="shared" si="49"/>
        <v>0</v>
      </c>
    </row>
    <row r="142">
      <c r="E142" s="21"/>
      <c r="F142" s="21"/>
      <c r="H142" s="8">
        <v>13.0</v>
      </c>
      <c r="I142" s="30">
        <v>46344.0</v>
      </c>
      <c r="J142" s="22" t="s">
        <v>22</v>
      </c>
      <c r="K142" s="21">
        <v>0.0</v>
      </c>
      <c r="L142" s="21">
        <f t="shared" si="50"/>
        <v>0</v>
      </c>
      <c r="N142" s="8">
        <v>13.0</v>
      </c>
      <c r="O142" s="20">
        <v>46373.0</v>
      </c>
      <c r="P142" s="22" t="s">
        <v>18</v>
      </c>
      <c r="Q142" s="21">
        <v>0.0</v>
      </c>
      <c r="R142" s="21">
        <f t="shared" si="49"/>
        <v>0</v>
      </c>
    </row>
    <row r="143">
      <c r="B143" s="8">
        <v>13.0</v>
      </c>
      <c r="C143" s="20">
        <v>46314.0</v>
      </c>
      <c r="D143" s="22" t="s">
        <v>19</v>
      </c>
      <c r="E143" s="21">
        <v>0.0</v>
      </c>
      <c r="F143" s="21">
        <f>sum(F141+E143)</f>
        <v>0</v>
      </c>
      <c r="H143" s="8">
        <v>14.0</v>
      </c>
      <c r="I143" s="30">
        <v>46345.0</v>
      </c>
      <c r="J143" s="22" t="s">
        <v>18</v>
      </c>
      <c r="K143" s="21">
        <v>0.0</v>
      </c>
      <c r="L143" s="21">
        <f t="shared" si="50"/>
        <v>0</v>
      </c>
      <c r="N143" s="8">
        <v>14.0</v>
      </c>
      <c r="O143" s="20">
        <v>46374.0</v>
      </c>
      <c r="P143" s="22" t="s">
        <v>20</v>
      </c>
      <c r="Q143" s="21">
        <v>0.0</v>
      </c>
      <c r="R143" s="21">
        <f t="shared" si="49"/>
        <v>0</v>
      </c>
    </row>
    <row r="144">
      <c r="B144" s="8">
        <v>14.0</v>
      </c>
      <c r="C144" s="20">
        <v>46315.0</v>
      </c>
      <c r="D144" s="22" t="s">
        <v>21</v>
      </c>
      <c r="E144" s="21">
        <v>0.0</v>
      </c>
      <c r="F144" s="21">
        <f t="shared" ref="F144:F147" si="51">sum(F143+E144)</f>
        <v>0</v>
      </c>
      <c r="H144" s="8">
        <v>15.0</v>
      </c>
      <c r="I144" s="30">
        <v>46346.0</v>
      </c>
      <c r="J144" s="22" t="s">
        <v>20</v>
      </c>
      <c r="K144" s="21">
        <v>0.0</v>
      </c>
      <c r="L144" s="21">
        <f t="shared" si="50"/>
        <v>0</v>
      </c>
      <c r="Q144" s="21"/>
      <c r="R144" s="21"/>
    </row>
    <row r="145">
      <c r="B145" s="8">
        <v>15.0</v>
      </c>
      <c r="C145" s="20">
        <v>46316.0</v>
      </c>
      <c r="D145" s="22" t="s">
        <v>22</v>
      </c>
      <c r="E145" s="21">
        <v>0.0</v>
      </c>
      <c r="F145" s="21">
        <f t="shared" si="51"/>
        <v>0</v>
      </c>
      <c r="K145" s="21"/>
      <c r="L145" s="21"/>
      <c r="N145" s="8">
        <v>15.0</v>
      </c>
      <c r="O145" s="20">
        <v>46377.0</v>
      </c>
      <c r="P145" s="22" t="s">
        <v>19</v>
      </c>
      <c r="Q145" s="21">
        <v>0.0</v>
      </c>
      <c r="R145" s="21">
        <f>sum(R143+Q145)</f>
        <v>0</v>
      </c>
    </row>
    <row r="146">
      <c r="B146" s="8">
        <v>16.0</v>
      </c>
      <c r="C146" s="20">
        <v>46317.0</v>
      </c>
      <c r="D146" s="22" t="s">
        <v>18</v>
      </c>
      <c r="E146" s="21">
        <v>0.0</v>
      </c>
      <c r="F146" s="21">
        <f t="shared" si="51"/>
        <v>0</v>
      </c>
      <c r="H146" s="8">
        <v>16.0</v>
      </c>
      <c r="I146" s="30">
        <v>46349.0</v>
      </c>
      <c r="J146" s="22" t="s">
        <v>19</v>
      </c>
      <c r="K146" s="21">
        <v>0.0</v>
      </c>
      <c r="L146" s="21">
        <f>sum(L144+K146)</f>
        <v>0</v>
      </c>
      <c r="N146" s="8">
        <v>16.0</v>
      </c>
      <c r="O146" s="20">
        <v>46378.0</v>
      </c>
      <c r="P146" s="22" t="s">
        <v>21</v>
      </c>
      <c r="Q146" s="21">
        <v>0.0</v>
      </c>
      <c r="R146" s="21">
        <f t="shared" ref="R146:R149" si="52">sum(R145+Q146)</f>
        <v>0</v>
      </c>
    </row>
    <row r="147">
      <c r="B147" s="8">
        <v>17.0</v>
      </c>
      <c r="C147" s="20">
        <v>46318.0</v>
      </c>
      <c r="D147" s="22" t="s">
        <v>20</v>
      </c>
      <c r="E147" s="21">
        <v>0.0</v>
      </c>
      <c r="F147" s="21">
        <f t="shared" si="51"/>
        <v>0</v>
      </c>
      <c r="H147" s="8">
        <v>17.0</v>
      </c>
      <c r="I147" s="30">
        <v>46350.0</v>
      </c>
      <c r="J147" s="22" t="s">
        <v>21</v>
      </c>
      <c r="K147" s="21">
        <v>0.0</v>
      </c>
      <c r="L147" s="21">
        <f t="shared" ref="L147:L150" si="53">sum(L146+K147)</f>
        <v>0</v>
      </c>
      <c r="N147" s="8">
        <v>17.0</v>
      </c>
      <c r="O147" s="20">
        <v>46379.0</v>
      </c>
      <c r="P147" s="22" t="s">
        <v>22</v>
      </c>
      <c r="Q147" s="21">
        <v>0.0</v>
      </c>
      <c r="R147" s="21">
        <f t="shared" si="52"/>
        <v>0</v>
      </c>
    </row>
    <row r="148">
      <c r="E148" s="21"/>
      <c r="F148" s="21"/>
      <c r="H148" s="8">
        <v>18.0</v>
      </c>
      <c r="I148" s="30">
        <v>46351.0</v>
      </c>
      <c r="J148" s="22" t="s">
        <v>22</v>
      </c>
      <c r="K148" s="21">
        <v>0.0</v>
      </c>
      <c r="L148" s="21">
        <f t="shared" si="53"/>
        <v>0</v>
      </c>
      <c r="N148" s="8">
        <v>18.0</v>
      </c>
      <c r="O148" s="20">
        <v>46380.0</v>
      </c>
      <c r="P148" s="22" t="s">
        <v>18</v>
      </c>
      <c r="Q148" s="21">
        <v>0.0</v>
      </c>
      <c r="R148" s="21">
        <f t="shared" si="52"/>
        <v>0</v>
      </c>
    </row>
    <row r="149">
      <c r="B149" s="8">
        <v>18.0</v>
      </c>
      <c r="C149" s="20">
        <v>46321.0</v>
      </c>
      <c r="D149" s="22" t="s">
        <v>19</v>
      </c>
      <c r="E149" s="21">
        <v>0.0</v>
      </c>
      <c r="F149" s="21">
        <f>sum(F147+E149)</f>
        <v>0</v>
      </c>
      <c r="H149" s="8">
        <v>19.0</v>
      </c>
      <c r="I149" s="30">
        <v>46352.0</v>
      </c>
      <c r="J149" s="22" t="s">
        <v>18</v>
      </c>
      <c r="K149" s="21">
        <v>0.0</v>
      </c>
      <c r="L149" s="21">
        <f t="shared" si="53"/>
        <v>0</v>
      </c>
      <c r="N149" s="8">
        <v>19.0</v>
      </c>
      <c r="O149" s="20">
        <v>46381.0</v>
      </c>
      <c r="P149" s="22" t="s">
        <v>20</v>
      </c>
      <c r="Q149" s="21">
        <v>0.0</v>
      </c>
      <c r="R149" s="21">
        <f t="shared" si="52"/>
        <v>0</v>
      </c>
    </row>
    <row r="150">
      <c r="B150" s="8">
        <v>19.0</v>
      </c>
      <c r="C150" s="20">
        <v>46322.0</v>
      </c>
      <c r="D150" s="22" t="s">
        <v>21</v>
      </c>
      <c r="E150" s="21">
        <v>0.0</v>
      </c>
      <c r="F150" s="21">
        <f t="shared" ref="F150:F153" si="54">sum(F149+E150)</f>
        <v>0</v>
      </c>
      <c r="H150" s="8">
        <v>20.0</v>
      </c>
      <c r="I150" s="30">
        <v>46353.0</v>
      </c>
      <c r="J150" s="22" t="s">
        <v>20</v>
      </c>
      <c r="K150" s="21">
        <v>0.0</v>
      </c>
      <c r="L150" s="21">
        <f t="shared" si="53"/>
        <v>0</v>
      </c>
      <c r="Q150" s="21"/>
      <c r="R150" s="21"/>
    </row>
    <row r="151">
      <c r="B151" s="8">
        <v>20.0</v>
      </c>
      <c r="C151" s="20">
        <v>46323.0</v>
      </c>
      <c r="D151" s="22" t="s">
        <v>22</v>
      </c>
      <c r="E151" s="21">
        <v>0.0</v>
      </c>
      <c r="F151" s="21">
        <f t="shared" si="54"/>
        <v>0</v>
      </c>
      <c r="K151" s="21"/>
      <c r="L151" s="21"/>
      <c r="N151" s="8">
        <v>20.0</v>
      </c>
      <c r="O151" s="20">
        <v>46384.0</v>
      </c>
      <c r="P151" s="22" t="s">
        <v>19</v>
      </c>
      <c r="Q151" s="21">
        <v>0.0</v>
      </c>
      <c r="R151" s="21">
        <f>sum(R149+Q151)</f>
        <v>0</v>
      </c>
    </row>
    <row r="152">
      <c r="B152" s="8">
        <v>21.0</v>
      </c>
      <c r="C152" s="20">
        <v>46324.0</v>
      </c>
      <c r="D152" s="22" t="s">
        <v>18</v>
      </c>
      <c r="E152" s="21">
        <v>0.0</v>
      </c>
      <c r="F152" s="21">
        <f t="shared" si="54"/>
        <v>0</v>
      </c>
      <c r="H152" s="8">
        <v>21.0</v>
      </c>
      <c r="I152" s="30">
        <v>46356.0</v>
      </c>
      <c r="J152" s="22" t="s">
        <v>19</v>
      </c>
      <c r="K152" s="21">
        <v>0.0</v>
      </c>
      <c r="L152" s="21">
        <f>sum(L150+K152)</f>
        <v>0</v>
      </c>
      <c r="N152" s="8">
        <v>21.0</v>
      </c>
      <c r="O152" s="20">
        <v>46385.0</v>
      </c>
      <c r="P152" s="22" t="s">
        <v>21</v>
      </c>
      <c r="Q152" s="21">
        <v>0.0</v>
      </c>
      <c r="R152" s="21">
        <f t="shared" ref="R152:R154" si="55">sum(R151+Q152)</f>
        <v>0</v>
      </c>
    </row>
    <row r="153">
      <c r="B153" s="8">
        <v>22.0</v>
      </c>
      <c r="C153" s="20">
        <v>46325.0</v>
      </c>
      <c r="D153" s="22" t="s">
        <v>20</v>
      </c>
      <c r="E153" s="21">
        <v>0.0</v>
      </c>
      <c r="F153" s="21">
        <f t="shared" si="54"/>
        <v>0</v>
      </c>
      <c r="H153" s="13" t="s">
        <v>41</v>
      </c>
      <c r="K153" s="23">
        <f>L152</f>
        <v>0</v>
      </c>
      <c r="N153" s="8">
        <v>22.0</v>
      </c>
      <c r="O153" s="20">
        <v>46386.0</v>
      </c>
      <c r="P153" s="22" t="s">
        <v>22</v>
      </c>
      <c r="Q153" s="21">
        <v>0.0</v>
      </c>
      <c r="R153" s="21">
        <f t="shared" si="55"/>
        <v>0</v>
      </c>
    </row>
    <row r="154">
      <c r="B154" s="13" t="s">
        <v>42</v>
      </c>
      <c r="E154" s="23">
        <f>F153</f>
        <v>0</v>
      </c>
      <c r="N154" s="8">
        <v>23.0</v>
      </c>
      <c r="O154" s="20">
        <v>46387.0</v>
      </c>
      <c r="P154" s="22" t="s">
        <v>18</v>
      </c>
      <c r="Q154" s="21">
        <v>0.0</v>
      </c>
      <c r="R154" s="21">
        <f t="shared" si="55"/>
        <v>0</v>
      </c>
    </row>
    <row r="155">
      <c r="I155" s="20"/>
      <c r="N155" s="13" t="s">
        <v>43</v>
      </c>
      <c r="Q155" s="23">
        <f>R154</f>
        <v>0</v>
      </c>
    </row>
  </sheetData>
  <mergeCells count="42">
    <mergeCell ref="A3:G19"/>
    <mergeCell ref="I3:L5"/>
    <mergeCell ref="N3:S4"/>
    <mergeCell ref="I6:J7"/>
    <mergeCell ref="N19:O19"/>
    <mergeCell ref="B24:R26"/>
    <mergeCell ref="B28:F29"/>
    <mergeCell ref="B57:D57"/>
    <mergeCell ref="B60:F61"/>
    <mergeCell ref="H60:L61"/>
    <mergeCell ref="N60:R61"/>
    <mergeCell ref="H28:L29"/>
    <mergeCell ref="N28:R29"/>
    <mergeCell ref="H54:J54"/>
    <mergeCell ref="K54:L54"/>
    <mergeCell ref="E57:F57"/>
    <mergeCell ref="N57:P57"/>
    <mergeCell ref="Q57:R57"/>
    <mergeCell ref="H88:J88"/>
    <mergeCell ref="K88:L88"/>
    <mergeCell ref="B89:D89"/>
    <mergeCell ref="E89:F89"/>
    <mergeCell ref="N89:P89"/>
    <mergeCell ref="Q89:R89"/>
    <mergeCell ref="B92:F93"/>
    <mergeCell ref="B122:D122"/>
    <mergeCell ref="B125:F126"/>
    <mergeCell ref="H125:L126"/>
    <mergeCell ref="N125:R126"/>
    <mergeCell ref="H153:J153"/>
    <mergeCell ref="K153:L153"/>
    <mergeCell ref="B154:D154"/>
    <mergeCell ref="E154:F154"/>
    <mergeCell ref="N155:P155"/>
    <mergeCell ref="Q155:R155"/>
    <mergeCell ref="H92:L93"/>
    <mergeCell ref="N92:R93"/>
    <mergeCell ref="H120:J120"/>
    <mergeCell ref="K120:L120"/>
    <mergeCell ref="N121:P121"/>
    <mergeCell ref="Q121:R121"/>
    <mergeCell ref="E122:F1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13"/>
    <col customWidth="1" min="3" max="3" width="18.13"/>
    <col customWidth="1" min="4" max="4" width="15.88"/>
    <col customWidth="1" min="8" max="8" width="3.75"/>
    <col customWidth="1" min="9" max="9" width="16.38"/>
    <col customWidth="1" min="10" max="10" width="14.75"/>
    <col customWidth="1" min="11" max="12" width="13.5"/>
    <col customWidth="1" min="14" max="14" width="3.63"/>
    <col customWidth="1" min="15" max="15" width="16.38"/>
    <col customWidth="1" min="16" max="16" width="14.5"/>
    <col customWidth="1" min="17" max="18" width="13.63"/>
  </cols>
  <sheetData>
    <row r="3">
      <c r="A3" s="1" t="s">
        <v>3</v>
      </c>
      <c r="I3" s="2" t="s">
        <v>1</v>
      </c>
      <c r="N3" s="3" t="s">
        <v>2</v>
      </c>
    </row>
    <row r="6">
      <c r="H6" s="4"/>
      <c r="I6" s="5">
        <v>1350000.0</v>
      </c>
      <c r="N6" s="6" t="s">
        <v>6</v>
      </c>
      <c r="O6" s="6" t="s">
        <v>7</v>
      </c>
      <c r="P6" s="7" t="s">
        <v>8</v>
      </c>
      <c r="Q6" s="6" t="s">
        <v>9</v>
      </c>
      <c r="R6" s="6" t="s">
        <v>10</v>
      </c>
      <c r="S6" s="6" t="s">
        <v>11</v>
      </c>
    </row>
    <row r="7">
      <c r="H7" s="4"/>
      <c r="N7" s="8">
        <v>1.0</v>
      </c>
      <c r="O7" s="9">
        <v>46023.0</v>
      </c>
      <c r="P7" s="10">
        <f t="shared" ref="P7:P18" si="1">$I$6</f>
        <v>1350000</v>
      </c>
      <c r="Q7" s="11">
        <f>E57</f>
        <v>840000</v>
      </c>
      <c r="R7" s="11">
        <f t="shared" ref="R7:R18" si="2">sum(Q7-P7)</f>
        <v>-510000</v>
      </c>
      <c r="S7" s="8"/>
    </row>
    <row r="8">
      <c r="H8" s="4"/>
      <c r="N8" s="8">
        <v>2.0</v>
      </c>
      <c r="O8" s="9">
        <v>46054.0</v>
      </c>
      <c r="P8" s="10">
        <f t="shared" si="1"/>
        <v>1350000</v>
      </c>
      <c r="Q8" s="11">
        <f>K54</f>
        <v>605000</v>
      </c>
      <c r="R8" s="11">
        <f t="shared" si="2"/>
        <v>-745000</v>
      </c>
      <c r="S8" s="12"/>
    </row>
    <row r="9">
      <c r="H9" s="4"/>
      <c r="N9" s="8">
        <v>3.0</v>
      </c>
      <c r="O9" s="9">
        <v>46082.0</v>
      </c>
      <c r="P9" s="10">
        <f t="shared" si="1"/>
        <v>1350000</v>
      </c>
      <c r="Q9" s="11">
        <f>Q57</f>
        <v>570000</v>
      </c>
      <c r="R9" s="11">
        <f t="shared" si="2"/>
        <v>-780000</v>
      </c>
      <c r="S9" s="12"/>
    </row>
    <row r="10">
      <c r="H10" s="4"/>
      <c r="N10" s="8">
        <v>4.0</v>
      </c>
      <c r="O10" s="9">
        <v>46113.0</v>
      </c>
      <c r="P10" s="10">
        <f t="shared" si="1"/>
        <v>1350000</v>
      </c>
      <c r="Q10" s="11">
        <f>E89</f>
        <v>1250000</v>
      </c>
      <c r="R10" s="11">
        <f t="shared" si="2"/>
        <v>-100000</v>
      </c>
      <c r="S10" s="12"/>
    </row>
    <row r="11">
      <c r="H11" s="4"/>
      <c r="N11" s="8">
        <v>5.0</v>
      </c>
      <c r="O11" s="9">
        <v>46143.0</v>
      </c>
      <c r="P11" s="10">
        <f t="shared" si="1"/>
        <v>1350000</v>
      </c>
      <c r="Q11" s="11">
        <f>K88</f>
        <v>740000</v>
      </c>
      <c r="R11" s="11">
        <f t="shared" si="2"/>
        <v>-610000</v>
      </c>
      <c r="S11" s="12"/>
    </row>
    <row r="12">
      <c r="H12" s="4"/>
      <c r="N12" s="8">
        <v>6.0</v>
      </c>
      <c r="O12" s="9">
        <v>46174.0</v>
      </c>
      <c r="P12" s="10">
        <f t="shared" si="1"/>
        <v>1350000</v>
      </c>
      <c r="Q12" s="11">
        <f>Q89</f>
        <v>1070000</v>
      </c>
      <c r="R12" s="11">
        <f t="shared" si="2"/>
        <v>-280000</v>
      </c>
      <c r="S12" s="12"/>
    </row>
    <row r="13">
      <c r="H13" s="4"/>
      <c r="N13" s="8">
        <v>7.0</v>
      </c>
      <c r="O13" s="9">
        <v>46204.0</v>
      </c>
      <c r="P13" s="10">
        <f t="shared" si="1"/>
        <v>1350000</v>
      </c>
      <c r="Q13" s="11">
        <f>E122</f>
        <v>945000</v>
      </c>
      <c r="R13" s="11">
        <f t="shared" si="2"/>
        <v>-405000</v>
      </c>
      <c r="S13" s="12"/>
    </row>
    <row r="14">
      <c r="H14" s="4"/>
      <c r="N14" s="8">
        <v>8.0</v>
      </c>
      <c r="O14" s="9">
        <v>46235.0</v>
      </c>
      <c r="P14" s="10">
        <f t="shared" si="1"/>
        <v>1350000</v>
      </c>
      <c r="Q14" s="11">
        <f>K120</f>
        <v>525000</v>
      </c>
      <c r="R14" s="11">
        <f t="shared" si="2"/>
        <v>-825000</v>
      </c>
      <c r="S14" s="12"/>
    </row>
    <row r="15">
      <c r="H15" s="4"/>
      <c r="N15" s="8">
        <v>9.0</v>
      </c>
      <c r="O15" s="9">
        <v>46266.0</v>
      </c>
      <c r="P15" s="10">
        <f t="shared" si="1"/>
        <v>1350000</v>
      </c>
      <c r="Q15" s="11">
        <f>Q121</f>
        <v>0</v>
      </c>
      <c r="R15" s="11">
        <f t="shared" si="2"/>
        <v>-1350000</v>
      </c>
      <c r="S15" s="12"/>
    </row>
    <row r="16">
      <c r="H16" s="4"/>
      <c r="N16" s="8">
        <v>10.0</v>
      </c>
      <c r="O16" s="9">
        <v>46296.0</v>
      </c>
      <c r="P16" s="10">
        <f t="shared" si="1"/>
        <v>1350000</v>
      </c>
      <c r="Q16" s="11">
        <f>E154</f>
        <v>0</v>
      </c>
      <c r="R16" s="11">
        <f t="shared" si="2"/>
        <v>-1350000</v>
      </c>
      <c r="S16" s="12"/>
    </row>
    <row r="17">
      <c r="N17" s="8">
        <v>11.0</v>
      </c>
      <c r="O17" s="9">
        <v>46327.0</v>
      </c>
      <c r="P17" s="10">
        <f t="shared" si="1"/>
        <v>1350000</v>
      </c>
      <c r="Q17" s="11">
        <f>K153</f>
        <v>0</v>
      </c>
      <c r="R17" s="11">
        <f t="shared" si="2"/>
        <v>-1350000</v>
      </c>
      <c r="S17" s="12"/>
    </row>
    <row r="18">
      <c r="N18" s="8">
        <v>12.0</v>
      </c>
      <c r="O18" s="9">
        <v>46357.0</v>
      </c>
      <c r="P18" s="10">
        <f t="shared" si="1"/>
        <v>1350000</v>
      </c>
      <c r="Q18" s="11">
        <f>Q155</f>
        <v>0</v>
      </c>
      <c r="R18" s="11">
        <f t="shared" si="2"/>
        <v>-1350000</v>
      </c>
      <c r="S18" s="12"/>
    </row>
    <row r="19">
      <c r="N19" s="13" t="s">
        <v>12</v>
      </c>
      <c r="P19" s="14">
        <f>sum(P7:P18)</f>
        <v>16200000</v>
      </c>
      <c r="Q19" s="15">
        <f t="shared" ref="Q19:R19" si="3">SUM(Q7:Q18)</f>
        <v>6545000</v>
      </c>
      <c r="R19" s="14">
        <f t="shared" si="3"/>
        <v>-9655000</v>
      </c>
      <c r="S19" s="16"/>
    </row>
    <row r="24">
      <c r="B24" s="17" t="s">
        <v>13</v>
      </c>
    </row>
    <row r="28">
      <c r="B28" s="18" t="s">
        <v>14</v>
      </c>
      <c r="H28" s="18" t="s">
        <v>15</v>
      </c>
      <c r="N28" s="18" t="s">
        <v>16</v>
      </c>
    </row>
    <row r="30">
      <c r="B30" s="19" t="s">
        <v>6</v>
      </c>
      <c r="C30" s="13" t="s">
        <v>17</v>
      </c>
      <c r="D30" s="13" t="s">
        <v>11</v>
      </c>
      <c r="E30" s="13" t="s">
        <v>9</v>
      </c>
      <c r="F30" s="13" t="s">
        <v>10</v>
      </c>
      <c r="H30" s="13" t="s">
        <v>6</v>
      </c>
      <c r="I30" s="13" t="s">
        <v>17</v>
      </c>
      <c r="J30" s="13" t="s">
        <v>11</v>
      </c>
      <c r="K30" s="13" t="s">
        <v>9</v>
      </c>
      <c r="L30" s="13" t="s">
        <v>10</v>
      </c>
      <c r="N30" s="13" t="s">
        <v>6</v>
      </c>
      <c r="O30" s="13" t="s">
        <v>17</v>
      </c>
      <c r="P30" s="13" t="s">
        <v>11</v>
      </c>
      <c r="Q30" s="13" t="s">
        <v>9</v>
      </c>
      <c r="R30" s="13" t="s">
        <v>10</v>
      </c>
    </row>
    <row r="31">
      <c r="B31" s="8">
        <v>1.0</v>
      </c>
      <c r="C31" s="20">
        <v>46023.0</v>
      </c>
      <c r="D31" s="12" t="s">
        <v>18</v>
      </c>
      <c r="E31" s="21">
        <v>0.0</v>
      </c>
      <c r="F31" s="21">
        <f>(E31)</f>
        <v>0</v>
      </c>
      <c r="H31" s="8">
        <v>1.0</v>
      </c>
      <c r="I31" s="20">
        <v>46055.0</v>
      </c>
      <c r="J31" s="12" t="s">
        <v>19</v>
      </c>
      <c r="K31" s="21">
        <v>50000.0</v>
      </c>
      <c r="L31" s="21">
        <f>K31</f>
        <v>50000</v>
      </c>
      <c r="N31" s="8">
        <v>1.0</v>
      </c>
      <c r="O31" s="20">
        <v>46083.0</v>
      </c>
      <c r="P31" s="12" t="s">
        <v>19</v>
      </c>
      <c r="Q31" s="21">
        <v>0.0</v>
      </c>
      <c r="R31" s="21">
        <f>Q31</f>
        <v>0</v>
      </c>
    </row>
    <row r="32">
      <c r="B32" s="8">
        <v>2.0</v>
      </c>
      <c r="C32" s="20">
        <v>46024.0</v>
      </c>
      <c r="D32" s="12" t="s">
        <v>20</v>
      </c>
      <c r="E32" s="21">
        <v>0.0</v>
      </c>
      <c r="F32" s="21">
        <f>sum(F31+E32)</f>
        <v>0</v>
      </c>
      <c r="H32" s="8">
        <v>2.0</v>
      </c>
      <c r="I32" s="20">
        <v>46056.0</v>
      </c>
      <c r="J32" s="12" t="s">
        <v>21</v>
      </c>
      <c r="K32" s="21">
        <v>50000.0</v>
      </c>
      <c r="L32" s="21">
        <f t="shared" ref="L32:L35" si="4">sum(L31+K32)</f>
        <v>100000</v>
      </c>
      <c r="N32" s="8">
        <v>2.0</v>
      </c>
      <c r="O32" s="20">
        <v>46084.0</v>
      </c>
      <c r="P32" s="12" t="s">
        <v>21</v>
      </c>
      <c r="Q32" s="21">
        <v>0.0</v>
      </c>
      <c r="R32" s="21">
        <f t="shared" ref="R32:R35" si="5">sum(R31+Q32)</f>
        <v>0</v>
      </c>
    </row>
    <row r="33">
      <c r="B33" s="12"/>
      <c r="C33" s="20"/>
      <c r="D33" s="12"/>
      <c r="E33" s="21"/>
      <c r="F33" s="21"/>
      <c r="H33" s="8">
        <v>3.0</v>
      </c>
      <c r="I33" s="20">
        <v>46057.0</v>
      </c>
      <c r="J33" s="12" t="s">
        <v>22</v>
      </c>
      <c r="K33" s="21">
        <v>50000.0</v>
      </c>
      <c r="L33" s="21">
        <f t="shared" si="4"/>
        <v>150000</v>
      </c>
      <c r="N33" s="8">
        <v>3.0</v>
      </c>
      <c r="O33" s="20">
        <v>46085.0</v>
      </c>
      <c r="P33" s="12" t="s">
        <v>22</v>
      </c>
      <c r="Q33" s="21">
        <v>0.0</v>
      </c>
      <c r="R33" s="21">
        <f t="shared" si="5"/>
        <v>0</v>
      </c>
    </row>
    <row r="34">
      <c r="B34" s="8">
        <v>3.0</v>
      </c>
      <c r="C34" s="20">
        <v>46027.0</v>
      </c>
      <c r="D34" s="12" t="s">
        <v>19</v>
      </c>
      <c r="E34" s="21">
        <v>50000.0</v>
      </c>
      <c r="F34" s="21">
        <f>sum(F32+E34)</f>
        <v>50000</v>
      </c>
      <c r="H34" s="8">
        <v>4.0</v>
      </c>
      <c r="I34" s="20">
        <v>46058.0</v>
      </c>
      <c r="J34" s="12" t="s">
        <v>18</v>
      </c>
      <c r="K34" s="21">
        <v>30000.0</v>
      </c>
      <c r="L34" s="21">
        <f t="shared" si="4"/>
        <v>180000</v>
      </c>
      <c r="N34" s="8">
        <v>4.0</v>
      </c>
      <c r="O34" s="20">
        <v>46086.0</v>
      </c>
      <c r="P34" s="12" t="s">
        <v>18</v>
      </c>
      <c r="Q34" s="21">
        <v>0.0</v>
      </c>
      <c r="R34" s="21">
        <f t="shared" si="5"/>
        <v>0</v>
      </c>
    </row>
    <row r="35">
      <c r="B35" s="8">
        <v>4.0</v>
      </c>
      <c r="C35" s="20">
        <v>46028.0</v>
      </c>
      <c r="D35" s="12" t="s">
        <v>21</v>
      </c>
      <c r="E35" s="21">
        <v>50000.0</v>
      </c>
      <c r="F35" s="21">
        <f t="shared" ref="F35:F38" si="6">sum(F34+E35)</f>
        <v>100000</v>
      </c>
      <c r="H35" s="8">
        <v>5.0</v>
      </c>
      <c r="I35" s="20">
        <v>46059.0</v>
      </c>
      <c r="J35" s="12" t="s">
        <v>20</v>
      </c>
      <c r="K35" s="21">
        <v>50000.0</v>
      </c>
      <c r="L35" s="21">
        <f t="shared" si="4"/>
        <v>230000</v>
      </c>
      <c r="N35" s="8">
        <v>5.0</v>
      </c>
      <c r="O35" s="20">
        <v>46087.0</v>
      </c>
      <c r="P35" s="12" t="s">
        <v>20</v>
      </c>
      <c r="Q35" s="21">
        <v>350000.0</v>
      </c>
      <c r="R35" s="21">
        <f t="shared" si="5"/>
        <v>350000</v>
      </c>
    </row>
    <row r="36">
      <c r="B36" s="8">
        <v>5.0</v>
      </c>
      <c r="C36" s="20">
        <v>46029.0</v>
      </c>
      <c r="D36" s="12" t="s">
        <v>22</v>
      </c>
      <c r="E36" s="21">
        <v>50000.0</v>
      </c>
      <c r="F36" s="21">
        <f t="shared" si="6"/>
        <v>150000</v>
      </c>
      <c r="H36" s="8"/>
      <c r="J36" s="12"/>
      <c r="K36" s="21"/>
      <c r="L36" s="21"/>
      <c r="N36" s="8"/>
      <c r="P36" s="12"/>
      <c r="Q36" s="21"/>
      <c r="R36" s="21"/>
    </row>
    <row r="37">
      <c r="B37" s="8">
        <v>6.0</v>
      </c>
      <c r="C37" s="20">
        <v>46030.0</v>
      </c>
      <c r="D37" s="12" t="s">
        <v>18</v>
      </c>
      <c r="E37" s="21">
        <v>50000.0</v>
      </c>
      <c r="F37" s="21">
        <f t="shared" si="6"/>
        <v>200000</v>
      </c>
      <c r="H37" s="8">
        <v>6.0</v>
      </c>
      <c r="I37" s="20">
        <v>46062.0</v>
      </c>
      <c r="J37" s="22" t="s">
        <v>19</v>
      </c>
      <c r="K37" s="21">
        <v>50000.0</v>
      </c>
      <c r="L37" s="21">
        <f>sum(L35+K37)</f>
        <v>280000</v>
      </c>
      <c r="N37" s="8">
        <v>6.0</v>
      </c>
      <c r="O37" s="20">
        <v>46090.0</v>
      </c>
      <c r="P37" s="22" t="s">
        <v>19</v>
      </c>
      <c r="Q37" s="21">
        <v>0.0</v>
      </c>
      <c r="R37" s="21">
        <f>sum(R35+Q37)</f>
        <v>350000</v>
      </c>
    </row>
    <row r="38">
      <c r="B38" s="8">
        <v>7.0</v>
      </c>
      <c r="C38" s="20">
        <v>46031.0</v>
      </c>
      <c r="D38" s="12" t="s">
        <v>20</v>
      </c>
      <c r="E38" s="21">
        <v>50000.0</v>
      </c>
      <c r="F38" s="21">
        <f t="shared" si="6"/>
        <v>250000</v>
      </c>
      <c r="H38" s="8">
        <v>7.0</v>
      </c>
      <c r="I38" s="20">
        <v>46063.0</v>
      </c>
      <c r="J38" s="22" t="s">
        <v>21</v>
      </c>
      <c r="K38" s="21">
        <v>0.0</v>
      </c>
      <c r="L38" s="21">
        <f t="shared" ref="L38:L41" si="7">sum(L37+K38)</f>
        <v>280000</v>
      </c>
      <c r="N38" s="8">
        <v>7.0</v>
      </c>
      <c r="O38" s="20">
        <v>46091.0</v>
      </c>
      <c r="P38" s="22" t="s">
        <v>21</v>
      </c>
      <c r="Q38" s="21">
        <v>0.0</v>
      </c>
      <c r="R38" s="21">
        <f t="shared" ref="R38:R41" si="8">sum(R37+Q38)</f>
        <v>350000</v>
      </c>
    </row>
    <row r="39">
      <c r="B39" s="12"/>
      <c r="E39" s="21"/>
      <c r="F39" s="21"/>
      <c r="H39" s="8">
        <v>8.0</v>
      </c>
      <c r="I39" s="20">
        <v>46064.0</v>
      </c>
      <c r="J39" s="22" t="s">
        <v>22</v>
      </c>
      <c r="K39" s="21">
        <v>70000.0</v>
      </c>
      <c r="L39" s="21">
        <f t="shared" si="7"/>
        <v>350000</v>
      </c>
      <c r="N39" s="8">
        <v>8.0</v>
      </c>
      <c r="O39" s="20">
        <v>46092.0</v>
      </c>
      <c r="P39" s="22" t="s">
        <v>22</v>
      </c>
      <c r="Q39" s="21">
        <v>100000.0</v>
      </c>
      <c r="R39" s="21">
        <f t="shared" si="8"/>
        <v>450000</v>
      </c>
    </row>
    <row r="40">
      <c r="B40" s="8">
        <v>8.0</v>
      </c>
      <c r="C40" s="20">
        <v>46034.0</v>
      </c>
      <c r="D40" s="12" t="s">
        <v>19</v>
      </c>
      <c r="E40" s="21">
        <v>50000.0</v>
      </c>
      <c r="F40" s="21">
        <f>sum(F38+E40)</f>
        <v>300000</v>
      </c>
      <c r="H40" s="8">
        <v>9.0</v>
      </c>
      <c r="I40" s="20">
        <v>46065.0</v>
      </c>
      <c r="J40" s="22" t="s">
        <v>18</v>
      </c>
      <c r="K40" s="21">
        <v>40000.0</v>
      </c>
      <c r="L40" s="21">
        <f t="shared" si="7"/>
        <v>390000</v>
      </c>
      <c r="N40" s="8">
        <v>9.0</v>
      </c>
      <c r="O40" s="20">
        <v>46093.0</v>
      </c>
      <c r="P40" s="22" t="s">
        <v>18</v>
      </c>
      <c r="Q40" s="21">
        <v>0.0</v>
      </c>
      <c r="R40" s="21">
        <f t="shared" si="8"/>
        <v>450000</v>
      </c>
    </row>
    <row r="41">
      <c r="B41" s="8">
        <v>9.0</v>
      </c>
      <c r="C41" s="20">
        <v>46035.0</v>
      </c>
      <c r="D41" s="12" t="s">
        <v>21</v>
      </c>
      <c r="E41" s="21">
        <v>50000.0</v>
      </c>
      <c r="F41" s="21">
        <f t="shared" ref="F41:F44" si="9">sum(F40+E41)</f>
        <v>350000</v>
      </c>
      <c r="H41" s="8">
        <v>10.0</v>
      </c>
      <c r="I41" s="20">
        <v>46066.0</v>
      </c>
      <c r="J41" s="22" t="s">
        <v>20</v>
      </c>
      <c r="K41" s="21">
        <v>50000.0</v>
      </c>
      <c r="L41" s="21">
        <f t="shared" si="7"/>
        <v>440000</v>
      </c>
      <c r="N41" s="8">
        <v>10.0</v>
      </c>
      <c r="O41" s="20">
        <v>46094.0</v>
      </c>
      <c r="P41" s="22" t="s">
        <v>20</v>
      </c>
      <c r="Q41" s="21">
        <v>0.0</v>
      </c>
      <c r="R41" s="21">
        <f t="shared" si="8"/>
        <v>450000</v>
      </c>
    </row>
    <row r="42">
      <c r="B42" s="8">
        <v>10.0</v>
      </c>
      <c r="C42" s="20">
        <v>46036.0</v>
      </c>
      <c r="D42" s="12" t="s">
        <v>22</v>
      </c>
      <c r="E42" s="21">
        <v>50000.0</v>
      </c>
      <c r="F42" s="21">
        <f t="shared" si="9"/>
        <v>400000</v>
      </c>
      <c r="H42" s="8"/>
      <c r="J42" s="12"/>
      <c r="K42" s="21"/>
      <c r="L42" s="21"/>
      <c r="N42" s="8"/>
      <c r="P42" s="12"/>
      <c r="Q42" s="21"/>
      <c r="R42" s="21"/>
    </row>
    <row r="43">
      <c r="B43" s="8">
        <v>11.0</v>
      </c>
      <c r="C43" s="20">
        <v>46037.0</v>
      </c>
      <c r="D43" s="12" t="s">
        <v>18</v>
      </c>
      <c r="E43" s="21">
        <v>50000.0</v>
      </c>
      <c r="F43" s="21">
        <f t="shared" si="9"/>
        <v>450000</v>
      </c>
      <c r="H43" s="8">
        <v>11.0</v>
      </c>
      <c r="I43" s="20">
        <v>46069.0</v>
      </c>
      <c r="J43" s="22" t="s">
        <v>19</v>
      </c>
      <c r="K43" s="21">
        <v>0.0</v>
      </c>
      <c r="L43" s="21">
        <f>sum(L41+K43)</f>
        <v>440000</v>
      </c>
      <c r="N43" s="8">
        <v>11.0</v>
      </c>
      <c r="O43" s="20">
        <v>46097.0</v>
      </c>
      <c r="P43" s="22" t="s">
        <v>19</v>
      </c>
      <c r="Q43" s="21">
        <v>0.0</v>
      </c>
      <c r="R43" s="21">
        <f>sum(R41+Q43)</f>
        <v>450000</v>
      </c>
    </row>
    <row r="44">
      <c r="B44" s="8">
        <v>12.0</v>
      </c>
      <c r="C44" s="20">
        <v>46038.0</v>
      </c>
      <c r="D44" s="12" t="s">
        <v>20</v>
      </c>
      <c r="E44" s="21">
        <v>0.0</v>
      </c>
      <c r="F44" s="21">
        <f t="shared" si="9"/>
        <v>450000</v>
      </c>
      <c r="H44" s="8">
        <v>12.0</v>
      </c>
      <c r="I44" s="20">
        <v>46070.0</v>
      </c>
      <c r="J44" s="22" t="s">
        <v>21</v>
      </c>
      <c r="K44" s="21">
        <v>0.0</v>
      </c>
      <c r="L44" s="21">
        <f t="shared" ref="L44:L47" si="10">sum(L43+K44)</f>
        <v>440000</v>
      </c>
      <c r="N44" s="8">
        <v>12.0</v>
      </c>
      <c r="O44" s="20">
        <v>46098.0</v>
      </c>
      <c r="P44" s="22" t="s">
        <v>21</v>
      </c>
      <c r="Q44" s="21">
        <v>0.0</v>
      </c>
      <c r="R44" s="21">
        <f t="shared" ref="R44:R47" si="11">sum(R43+Q44)</f>
        <v>450000</v>
      </c>
    </row>
    <row r="45">
      <c r="B45" s="12"/>
      <c r="E45" s="21"/>
      <c r="F45" s="21"/>
      <c r="H45" s="8">
        <v>13.0</v>
      </c>
      <c r="I45" s="20">
        <v>46071.0</v>
      </c>
      <c r="J45" s="22" t="s">
        <v>22</v>
      </c>
      <c r="K45" s="21">
        <v>0.0</v>
      </c>
      <c r="L45" s="21">
        <f t="shared" si="10"/>
        <v>440000</v>
      </c>
      <c r="N45" s="8">
        <v>13.0</v>
      </c>
      <c r="O45" s="20">
        <v>46099.0</v>
      </c>
      <c r="P45" s="22" t="s">
        <v>22</v>
      </c>
      <c r="Q45" s="21">
        <v>0.0</v>
      </c>
      <c r="R45" s="21">
        <f t="shared" si="11"/>
        <v>450000</v>
      </c>
    </row>
    <row r="46">
      <c r="B46" s="8">
        <v>13.0</v>
      </c>
      <c r="C46" s="20">
        <v>46041.0</v>
      </c>
      <c r="D46" s="12" t="s">
        <v>19</v>
      </c>
      <c r="E46" s="21">
        <v>50000.0</v>
      </c>
      <c r="F46" s="21">
        <f>sum(F44+E46)</f>
        <v>500000</v>
      </c>
      <c r="H46" s="8">
        <v>14.0</v>
      </c>
      <c r="I46" s="20">
        <v>46072.0</v>
      </c>
      <c r="J46" s="22" t="s">
        <v>18</v>
      </c>
      <c r="K46" s="21">
        <v>50000.0</v>
      </c>
      <c r="L46" s="21">
        <f t="shared" si="10"/>
        <v>490000</v>
      </c>
      <c r="N46" s="8">
        <v>14.0</v>
      </c>
      <c r="O46" s="20">
        <v>46100.0</v>
      </c>
      <c r="P46" s="22" t="s">
        <v>18</v>
      </c>
      <c r="Q46" s="21">
        <v>0.0</v>
      </c>
      <c r="R46" s="21">
        <f t="shared" si="11"/>
        <v>450000</v>
      </c>
    </row>
    <row r="47">
      <c r="B47" s="8">
        <v>14.0</v>
      </c>
      <c r="C47" s="20">
        <v>46042.0</v>
      </c>
      <c r="D47" s="12" t="s">
        <v>21</v>
      </c>
      <c r="E47" s="21">
        <v>0.0</v>
      </c>
      <c r="F47" s="21">
        <f t="shared" ref="F47:F50" si="12">sum(F46+E47)</f>
        <v>500000</v>
      </c>
      <c r="H47" s="8">
        <v>15.0</v>
      </c>
      <c r="I47" s="20">
        <v>46073.0</v>
      </c>
      <c r="J47" s="22" t="s">
        <v>20</v>
      </c>
      <c r="K47" s="21">
        <v>0.0</v>
      </c>
      <c r="L47" s="21">
        <f t="shared" si="10"/>
        <v>490000</v>
      </c>
      <c r="N47" s="8">
        <v>15.0</v>
      </c>
      <c r="O47" s="20">
        <v>46101.0</v>
      </c>
      <c r="P47" s="22" t="s">
        <v>20</v>
      </c>
      <c r="Q47" s="21">
        <v>0.0</v>
      </c>
      <c r="R47" s="21">
        <f t="shared" si="11"/>
        <v>450000</v>
      </c>
    </row>
    <row r="48">
      <c r="B48" s="8">
        <v>15.0</v>
      </c>
      <c r="C48" s="20">
        <v>46043.0</v>
      </c>
      <c r="D48" s="12" t="s">
        <v>22</v>
      </c>
      <c r="E48" s="21">
        <v>50000.0</v>
      </c>
      <c r="F48" s="21">
        <f t="shared" si="12"/>
        <v>550000</v>
      </c>
      <c r="H48" s="8"/>
      <c r="J48" s="12"/>
      <c r="K48" s="21"/>
      <c r="L48" s="21"/>
      <c r="N48" s="8"/>
      <c r="P48" s="12"/>
      <c r="Q48" s="21"/>
      <c r="R48" s="21"/>
    </row>
    <row r="49">
      <c r="B49" s="8">
        <v>16.0</v>
      </c>
      <c r="C49" s="20">
        <v>46044.0</v>
      </c>
      <c r="D49" s="12" t="s">
        <v>18</v>
      </c>
      <c r="E49" s="21">
        <v>50000.0</v>
      </c>
      <c r="F49" s="21">
        <f t="shared" si="12"/>
        <v>600000</v>
      </c>
      <c r="H49" s="8">
        <v>16.0</v>
      </c>
      <c r="I49" s="20">
        <v>46076.0</v>
      </c>
      <c r="J49" s="22" t="s">
        <v>19</v>
      </c>
      <c r="K49" s="21">
        <v>25000.0</v>
      </c>
      <c r="L49" s="21">
        <f>sum(L47+K49)</f>
        <v>515000</v>
      </c>
      <c r="N49" s="8">
        <v>16.0</v>
      </c>
      <c r="O49" s="20">
        <v>46104.0</v>
      </c>
      <c r="P49" s="22" t="s">
        <v>19</v>
      </c>
      <c r="Q49" s="21">
        <v>0.0</v>
      </c>
      <c r="R49" s="21">
        <f>sum(R47+Q49)</f>
        <v>450000</v>
      </c>
    </row>
    <row r="50">
      <c r="B50" s="8">
        <v>17.0</v>
      </c>
      <c r="C50" s="20">
        <v>46045.0</v>
      </c>
      <c r="D50" s="12" t="s">
        <v>20</v>
      </c>
      <c r="E50" s="21">
        <v>50000.0</v>
      </c>
      <c r="F50" s="21">
        <f t="shared" si="12"/>
        <v>650000</v>
      </c>
      <c r="H50" s="8">
        <v>17.0</v>
      </c>
      <c r="I50" s="20">
        <v>46077.0</v>
      </c>
      <c r="J50" s="22" t="s">
        <v>21</v>
      </c>
      <c r="K50" s="21">
        <v>30000.0</v>
      </c>
      <c r="L50" s="21">
        <f t="shared" ref="L50:L53" si="13">sum(L49+K50)</f>
        <v>545000</v>
      </c>
      <c r="N50" s="8">
        <v>17.0</v>
      </c>
      <c r="O50" s="20">
        <v>46105.0</v>
      </c>
      <c r="P50" s="22" t="s">
        <v>21</v>
      </c>
      <c r="Q50" s="21">
        <v>0.0</v>
      </c>
      <c r="R50" s="21">
        <f t="shared" ref="R50:R53" si="14">sum(R49+Q50)</f>
        <v>450000</v>
      </c>
    </row>
    <row r="51">
      <c r="B51" s="12"/>
      <c r="E51" s="21"/>
      <c r="F51" s="21"/>
      <c r="H51" s="8">
        <v>18.0</v>
      </c>
      <c r="I51" s="20">
        <v>46078.0</v>
      </c>
      <c r="J51" s="22" t="s">
        <v>22</v>
      </c>
      <c r="K51" s="21">
        <v>30000.0</v>
      </c>
      <c r="L51" s="21">
        <f t="shared" si="13"/>
        <v>575000</v>
      </c>
      <c r="N51" s="8">
        <v>18.0</v>
      </c>
      <c r="O51" s="20">
        <v>46106.0</v>
      </c>
      <c r="P51" s="22" t="s">
        <v>22</v>
      </c>
      <c r="Q51" s="21">
        <v>0.0</v>
      </c>
      <c r="R51" s="21">
        <f t="shared" si="14"/>
        <v>450000</v>
      </c>
    </row>
    <row r="52">
      <c r="B52" s="8">
        <v>18.0</v>
      </c>
      <c r="C52" s="20">
        <v>46048.0</v>
      </c>
      <c r="D52" s="12" t="s">
        <v>19</v>
      </c>
      <c r="E52" s="21">
        <v>50000.0</v>
      </c>
      <c r="F52" s="21">
        <f>sum(F50+E52)</f>
        <v>700000</v>
      </c>
      <c r="H52" s="8">
        <v>19.0</v>
      </c>
      <c r="I52" s="20">
        <v>46079.0</v>
      </c>
      <c r="J52" s="22" t="s">
        <v>18</v>
      </c>
      <c r="K52" s="21">
        <v>0.0</v>
      </c>
      <c r="L52" s="21">
        <f t="shared" si="13"/>
        <v>575000</v>
      </c>
      <c r="N52" s="8">
        <v>19.0</v>
      </c>
      <c r="O52" s="20">
        <v>46107.0</v>
      </c>
      <c r="P52" s="22" t="s">
        <v>18</v>
      </c>
      <c r="Q52" s="21">
        <v>0.0</v>
      </c>
      <c r="R52" s="21">
        <f t="shared" si="14"/>
        <v>450000</v>
      </c>
    </row>
    <row r="53">
      <c r="B53" s="8">
        <v>19.0</v>
      </c>
      <c r="C53" s="20">
        <v>46049.0</v>
      </c>
      <c r="D53" s="12" t="s">
        <v>21</v>
      </c>
      <c r="E53" s="21">
        <v>50000.0</v>
      </c>
      <c r="F53" s="21">
        <f t="shared" ref="F53:F56" si="15">sum(F52+E53)</f>
        <v>750000</v>
      </c>
      <c r="H53" s="8">
        <v>20.0</v>
      </c>
      <c r="I53" s="20">
        <v>46080.0</v>
      </c>
      <c r="J53" s="22" t="s">
        <v>20</v>
      </c>
      <c r="K53" s="21">
        <v>30000.0</v>
      </c>
      <c r="L53" s="21">
        <f t="shared" si="13"/>
        <v>605000</v>
      </c>
      <c r="N53" s="8">
        <v>20.0</v>
      </c>
      <c r="O53" s="20">
        <v>46108.0</v>
      </c>
      <c r="P53" s="22" t="s">
        <v>20</v>
      </c>
      <c r="Q53" s="21">
        <v>0.0</v>
      </c>
      <c r="R53" s="21">
        <f t="shared" si="14"/>
        <v>450000</v>
      </c>
    </row>
    <row r="54">
      <c r="B54" s="8">
        <v>20.0</v>
      </c>
      <c r="C54" s="20">
        <v>46050.0</v>
      </c>
      <c r="D54" s="12" t="s">
        <v>22</v>
      </c>
      <c r="E54" s="21">
        <v>30000.0</v>
      </c>
      <c r="F54" s="21">
        <f t="shared" si="15"/>
        <v>780000</v>
      </c>
      <c r="H54" s="13" t="s">
        <v>23</v>
      </c>
      <c r="K54" s="23">
        <f>L53</f>
        <v>605000</v>
      </c>
    </row>
    <row r="55">
      <c r="B55" s="8">
        <v>21.0</v>
      </c>
      <c r="C55" s="20">
        <v>46051.0</v>
      </c>
      <c r="D55" s="12" t="s">
        <v>18</v>
      </c>
      <c r="E55" s="21">
        <v>30000.0</v>
      </c>
      <c r="F55" s="21">
        <f t="shared" si="15"/>
        <v>810000</v>
      </c>
      <c r="N55" s="8">
        <v>21.0</v>
      </c>
      <c r="O55" s="20">
        <v>46111.0</v>
      </c>
      <c r="P55" s="24" t="s">
        <v>19</v>
      </c>
      <c r="Q55" s="21">
        <v>70000.0</v>
      </c>
      <c r="R55" s="25">
        <f>sum(R53+Q55)</f>
        <v>520000</v>
      </c>
    </row>
    <row r="56">
      <c r="B56" s="8">
        <v>22.0</v>
      </c>
      <c r="C56" s="20">
        <v>46052.0</v>
      </c>
      <c r="D56" s="12" t="s">
        <v>20</v>
      </c>
      <c r="E56" s="21">
        <v>30000.0</v>
      </c>
      <c r="F56" s="21">
        <f t="shared" si="15"/>
        <v>840000</v>
      </c>
      <c r="N56" s="8">
        <v>22.0</v>
      </c>
      <c r="O56" s="20">
        <v>46112.0</v>
      </c>
      <c r="P56" s="24" t="s">
        <v>21</v>
      </c>
      <c r="Q56" s="21">
        <v>50000.0</v>
      </c>
      <c r="R56" s="25">
        <f>sum(R55+Q56)</f>
        <v>570000</v>
      </c>
    </row>
    <row r="57">
      <c r="B57" s="13" t="s">
        <v>24</v>
      </c>
      <c r="E57" s="23">
        <f>F56</f>
        <v>840000</v>
      </c>
      <c r="N57" s="13" t="s">
        <v>25</v>
      </c>
      <c r="Q57" s="23">
        <f>R56</f>
        <v>570000</v>
      </c>
    </row>
    <row r="58">
      <c r="B58" s="12"/>
      <c r="E58" s="12"/>
      <c r="F58" s="12"/>
    </row>
    <row r="59">
      <c r="B59" s="12"/>
      <c r="E59" s="12"/>
      <c r="F59" s="12"/>
    </row>
    <row r="60">
      <c r="B60" s="18" t="s">
        <v>26</v>
      </c>
      <c r="H60" s="18" t="s">
        <v>27</v>
      </c>
      <c r="N60" s="18" t="s">
        <v>28</v>
      </c>
    </row>
    <row r="62">
      <c r="B62" s="26" t="s">
        <v>6</v>
      </c>
      <c r="C62" s="26" t="s">
        <v>17</v>
      </c>
      <c r="D62" s="26" t="s">
        <v>11</v>
      </c>
      <c r="E62" s="26" t="s">
        <v>9</v>
      </c>
      <c r="F62" s="26" t="s">
        <v>10</v>
      </c>
      <c r="H62" s="26" t="s">
        <v>6</v>
      </c>
      <c r="I62" s="26" t="s">
        <v>17</v>
      </c>
      <c r="J62" s="26" t="s">
        <v>11</v>
      </c>
      <c r="K62" s="26" t="s">
        <v>9</v>
      </c>
      <c r="L62" s="26" t="s">
        <v>10</v>
      </c>
      <c r="N62" s="26" t="s">
        <v>6</v>
      </c>
      <c r="O62" s="26" t="s">
        <v>17</v>
      </c>
      <c r="P62" s="26" t="s">
        <v>11</v>
      </c>
      <c r="Q62" s="26" t="s">
        <v>9</v>
      </c>
      <c r="R62" s="26" t="s">
        <v>10</v>
      </c>
    </row>
    <row r="63">
      <c r="B63" s="8">
        <v>1.0</v>
      </c>
      <c r="C63" s="20">
        <v>46113.0</v>
      </c>
      <c r="D63" s="12" t="s">
        <v>22</v>
      </c>
      <c r="E63" s="21">
        <v>50000.0</v>
      </c>
      <c r="F63" s="21">
        <f>(E63)</f>
        <v>50000</v>
      </c>
      <c r="H63" s="8">
        <v>1.0</v>
      </c>
      <c r="I63" s="20">
        <v>46143.0</v>
      </c>
      <c r="J63" s="12" t="s">
        <v>20</v>
      </c>
      <c r="K63" s="21">
        <v>0.0</v>
      </c>
      <c r="L63" s="21">
        <f>K63</f>
        <v>0</v>
      </c>
      <c r="N63" s="8">
        <v>1.0</v>
      </c>
      <c r="O63" s="20">
        <v>46174.0</v>
      </c>
      <c r="P63" s="22" t="s">
        <v>19</v>
      </c>
      <c r="Q63" s="21">
        <v>0.0</v>
      </c>
      <c r="R63" s="21">
        <f>(Q63)</f>
        <v>0</v>
      </c>
    </row>
    <row r="64">
      <c r="B64" s="8">
        <v>2.0</v>
      </c>
      <c r="C64" s="20">
        <v>46114.0</v>
      </c>
      <c r="D64" s="12" t="s">
        <v>18</v>
      </c>
      <c r="E64" s="21">
        <v>70000.0</v>
      </c>
      <c r="F64" s="21">
        <f t="shared" ref="F64:F65" si="16">sum(F63+E64)</f>
        <v>120000</v>
      </c>
      <c r="H64" s="8"/>
      <c r="I64" s="20"/>
      <c r="J64" s="12"/>
      <c r="K64" s="21"/>
      <c r="L64" s="21"/>
      <c r="N64" s="8">
        <v>2.0</v>
      </c>
      <c r="O64" s="20">
        <v>46175.0</v>
      </c>
      <c r="P64" s="22" t="s">
        <v>21</v>
      </c>
      <c r="Q64" s="21">
        <v>50000.0</v>
      </c>
      <c r="R64" s="21">
        <f t="shared" ref="R64:R67" si="17">sum(R63+Q64)</f>
        <v>50000</v>
      </c>
    </row>
    <row r="65">
      <c r="B65" s="8">
        <v>3.0</v>
      </c>
      <c r="C65" s="20">
        <v>46115.0</v>
      </c>
      <c r="D65" s="12" t="s">
        <v>20</v>
      </c>
      <c r="E65" s="21">
        <v>50000.0</v>
      </c>
      <c r="F65" s="21">
        <f t="shared" si="16"/>
        <v>170000</v>
      </c>
      <c r="H65" s="8">
        <v>2.0</v>
      </c>
      <c r="I65" s="20">
        <v>46146.0</v>
      </c>
      <c r="J65" s="22" t="s">
        <v>19</v>
      </c>
      <c r="K65" s="21">
        <v>0.0</v>
      </c>
      <c r="L65" s="21">
        <f>sum(L63+K65)</f>
        <v>0</v>
      </c>
      <c r="N65" s="8">
        <v>3.0</v>
      </c>
      <c r="O65" s="20">
        <v>46176.0</v>
      </c>
      <c r="P65" s="22" t="s">
        <v>22</v>
      </c>
      <c r="Q65" s="21">
        <v>50000.0</v>
      </c>
      <c r="R65" s="21">
        <f t="shared" si="17"/>
        <v>100000</v>
      </c>
    </row>
    <row r="66">
      <c r="C66" s="20"/>
      <c r="E66" s="21"/>
      <c r="F66" s="21"/>
      <c r="H66" s="8">
        <v>3.0</v>
      </c>
      <c r="I66" s="20">
        <v>46147.0</v>
      </c>
      <c r="J66" s="22" t="s">
        <v>21</v>
      </c>
      <c r="K66" s="21">
        <v>0.0</v>
      </c>
      <c r="L66" s="21">
        <f t="shared" ref="L66:L69" si="18">sum(L65+K66)</f>
        <v>0</v>
      </c>
      <c r="N66" s="8">
        <v>4.0</v>
      </c>
      <c r="O66" s="20">
        <v>46177.0</v>
      </c>
      <c r="P66" s="22" t="s">
        <v>18</v>
      </c>
      <c r="Q66" s="21">
        <v>60000.0</v>
      </c>
      <c r="R66" s="21">
        <f t="shared" si="17"/>
        <v>160000</v>
      </c>
    </row>
    <row r="67">
      <c r="B67" s="8">
        <v>4.0</v>
      </c>
      <c r="C67" s="20">
        <v>46118.0</v>
      </c>
      <c r="D67" s="22" t="s">
        <v>19</v>
      </c>
      <c r="E67" s="21">
        <v>50000.0</v>
      </c>
      <c r="F67" s="21">
        <f>sum(F65+E67)</f>
        <v>220000</v>
      </c>
      <c r="H67" s="8">
        <v>4.0</v>
      </c>
      <c r="I67" s="20">
        <v>46148.0</v>
      </c>
      <c r="J67" s="22" t="s">
        <v>22</v>
      </c>
      <c r="K67" s="21">
        <v>80000.0</v>
      </c>
      <c r="L67" s="21">
        <f t="shared" si="18"/>
        <v>80000</v>
      </c>
      <c r="N67" s="8">
        <v>5.0</v>
      </c>
      <c r="O67" s="20">
        <v>46178.0</v>
      </c>
      <c r="P67" s="22" t="s">
        <v>20</v>
      </c>
      <c r="Q67" s="21">
        <v>50000.0</v>
      </c>
      <c r="R67" s="21">
        <f t="shared" si="17"/>
        <v>210000</v>
      </c>
    </row>
    <row r="68">
      <c r="B68" s="8">
        <v>5.0</v>
      </c>
      <c r="C68" s="20">
        <v>46119.0</v>
      </c>
      <c r="D68" s="22" t="s">
        <v>21</v>
      </c>
      <c r="E68" s="21">
        <v>50000.0</v>
      </c>
      <c r="F68" s="21">
        <f t="shared" ref="F68:F71" si="19">sum(F67+E68)</f>
        <v>270000</v>
      </c>
      <c r="H68" s="8">
        <v>5.0</v>
      </c>
      <c r="I68" s="20">
        <v>46149.0</v>
      </c>
      <c r="J68" s="22" t="s">
        <v>18</v>
      </c>
      <c r="K68" s="21">
        <v>60000.0</v>
      </c>
      <c r="L68" s="21">
        <f t="shared" si="18"/>
        <v>140000</v>
      </c>
      <c r="O68" s="20"/>
      <c r="Q68" s="21"/>
      <c r="R68" s="21"/>
    </row>
    <row r="69">
      <c r="B69" s="8">
        <v>6.0</v>
      </c>
      <c r="C69" s="20">
        <v>46120.0</v>
      </c>
      <c r="D69" s="22" t="s">
        <v>22</v>
      </c>
      <c r="E69" s="21">
        <v>50000.0</v>
      </c>
      <c r="F69" s="21">
        <f t="shared" si="19"/>
        <v>320000</v>
      </c>
      <c r="H69" s="8">
        <v>6.0</v>
      </c>
      <c r="I69" s="20">
        <v>46150.0</v>
      </c>
      <c r="J69" s="22" t="s">
        <v>20</v>
      </c>
      <c r="K69" s="21">
        <v>50000.0</v>
      </c>
      <c r="L69" s="21">
        <f t="shared" si="18"/>
        <v>190000</v>
      </c>
      <c r="N69" s="8">
        <v>6.0</v>
      </c>
      <c r="O69" s="20">
        <v>46181.0</v>
      </c>
      <c r="P69" s="22" t="s">
        <v>19</v>
      </c>
      <c r="Q69" s="21">
        <v>50000.0</v>
      </c>
      <c r="R69" s="21">
        <f>sum(R67+Q69)</f>
        <v>260000</v>
      </c>
    </row>
    <row r="70">
      <c r="B70" s="8">
        <v>7.0</v>
      </c>
      <c r="C70" s="20">
        <v>46121.0</v>
      </c>
      <c r="D70" s="22" t="s">
        <v>18</v>
      </c>
      <c r="E70" s="21">
        <v>50000.0</v>
      </c>
      <c r="F70" s="21">
        <f t="shared" si="19"/>
        <v>370000</v>
      </c>
      <c r="H70" s="8"/>
      <c r="K70" s="21"/>
      <c r="L70" s="21"/>
      <c r="N70" s="8">
        <v>7.0</v>
      </c>
      <c r="O70" s="20">
        <v>46182.0</v>
      </c>
      <c r="P70" s="22" t="s">
        <v>21</v>
      </c>
      <c r="Q70" s="21">
        <v>50000.0</v>
      </c>
      <c r="R70" s="21">
        <f t="shared" ref="R70:R73" si="20">sum(R69+Q70)</f>
        <v>310000</v>
      </c>
    </row>
    <row r="71">
      <c r="B71" s="8">
        <v>8.0</v>
      </c>
      <c r="C71" s="20">
        <v>46122.0</v>
      </c>
      <c r="D71" s="22" t="s">
        <v>20</v>
      </c>
      <c r="E71" s="21">
        <v>50000.0</v>
      </c>
      <c r="F71" s="21">
        <f t="shared" si="19"/>
        <v>420000</v>
      </c>
      <c r="H71" s="8">
        <v>7.0</v>
      </c>
      <c r="I71" s="20">
        <v>46153.0</v>
      </c>
      <c r="J71" s="22" t="s">
        <v>19</v>
      </c>
      <c r="K71" s="21">
        <v>70000.0</v>
      </c>
      <c r="L71" s="21">
        <f>sum(L69+K71)</f>
        <v>260000</v>
      </c>
      <c r="N71" s="8">
        <v>8.0</v>
      </c>
      <c r="O71" s="20">
        <v>46183.0</v>
      </c>
      <c r="P71" s="22" t="s">
        <v>22</v>
      </c>
      <c r="Q71" s="21">
        <v>100000.0</v>
      </c>
      <c r="R71" s="21">
        <f t="shared" si="20"/>
        <v>410000</v>
      </c>
    </row>
    <row r="72">
      <c r="B72" s="8"/>
      <c r="E72" s="21"/>
      <c r="F72" s="21"/>
      <c r="H72" s="8">
        <v>8.0</v>
      </c>
      <c r="I72" s="20">
        <v>46154.0</v>
      </c>
      <c r="J72" s="22" t="s">
        <v>21</v>
      </c>
      <c r="K72" s="21">
        <v>50000.0</v>
      </c>
      <c r="L72" s="21">
        <f t="shared" ref="L72:L75" si="21">sum(L71+K72)</f>
        <v>310000</v>
      </c>
      <c r="N72" s="8">
        <v>9.0</v>
      </c>
      <c r="O72" s="20">
        <v>46184.0</v>
      </c>
      <c r="P72" s="22" t="s">
        <v>18</v>
      </c>
      <c r="Q72" s="21">
        <v>50000.0</v>
      </c>
      <c r="R72" s="21">
        <f t="shared" si="20"/>
        <v>460000</v>
      </c>
    </row>
    <row r="73">
      <c r="B73" s="8">
        <v>9.0</v>
      </c>
      <c r="C73" s="20">
        <v>46125.0</v>
      </c>
      <c r="D73" s="22" t="s">
        <v>19</v>
      </c>
      <c r="E73" s="21">
        <v>50000.0</v>
      </c>
      <c r="F73" s="21">
        <f>sum(F71+E73)</f>
        <v>470000</v>
      </c>
      <c r="H73" s="8">
        <v>9.0</v>
      </c>
      <c r="I73" s="20">
        <v>46155.0</v>
      </c>
      <c r="J73" s="22" t="s">
        <v>22</v>
      </c>
      <c r="K73" s="21">
        <v>60000.0</v>
      </c>
      <c r="L73" s="21">
        <f t="shared" si="21"/>
        <v>370000</v>
      </c>
      <c r="N73" s="8">
        <v>10.0</v>
      </c>
      <c r="O73" s="20">
        <v>46185.0</v>
      </c>
      <c r="P73" s="22" t="s">
        <v>20</v>
      </c>
      <c r="Q73" s="21">
        <v>60000.0</v>
      </c>
      <c r="R73" s="21">
        <f t="shared" si="20"/>
        <v>520000</v>
      </c>
    </row>
    <row r="74">
      <c r="B74" s="8">
        <v>10.0</v>
      </c>
      <c r="C74" s="20">
        <v>46126.0</v>
      </c>
      <c r="D74" s="22" t="s">
        <v>21</v>
      </c>
      <c r="E74" s="21">
        <v>50000.0</v>
      </c>
      <c r="F74" s="21">
        <f t="shared" ref="F74:F77" si="22">sum(F73+E74)</f>
        <v>520000</v>
      </c>
      <c r="H74" s="8">
        <v>10.0</v>
      </c>
      <c r="I74" s="20">
        <v>46156.0</v>
      </c>
      <c r="J74" s="22" t="s">
        <v>18</v>
      </c>
      <c r="K74" s="21">
        <v>0.0</v>
      </c>
      <c r="L74" s="21">
        <f t="shared" si="21"/>
        <v>370000</v>
      </c>
      <c r="Q74" s="21"/>
      <c r="R74" s="21"/>
    </row>
    <row r="75">
      <c r="B75" s="8">
        <v>11.0</v>
      </c>
      <c r="C75" s="20">
        <v>46127.0</v>
      </c>
      <c r="D75" s="22" t="s">
        <v>22</v>
      </c>
      <c r="E75" s="21">
        <v>60000.0</v>
      </c>
      <c r="F75" s="21">
        <f t="shared" si="22"/>
        <v>580000</v>
      </c>
      <c r="H75" s="8">
        <v>11.0</v>
      </c>
      <c r="I75" s="20">
        <v>46157.0</v>
      </c>
      <c r="J75" s="22" t="s">
        <v>20</v>
      </c>
      <c r="K75" s="21">
        <v>0.0</v>
      </c>
      <c r="L75" s="21">
        <f t="shared" si="21"/>
        <v>370000</v>
      </c>
      <c r="N75" s="8">
        <v>11.0</v>
      </c>
      <c r="O75" s="20">
        <v>46188.0</v>
      </c>
      <c r="P75" s="22" t="s">
        <v>19</v>
      </c>
      <c r="Q75" s="21">
        <v>50000.0</v>
      </c>
      <c r="R75" s="21">
        <f>sum(R73+Q75)</f>
        <v>570000</v>
      </c>
    </row>
    <row r="76">
      <c r="B76" s="8">
        <v>12.0</v>
      </c>
      <c r="C76" s="20">
        <v>46128.0</v>
      </c>
      <c r="D76" s="22" t="s">
        <v>18</v>
      </c>
      <c r="E76" s="21">
        <v>60000.0</v>
      </c>
      <c r="F76" s="21">
        <f t="shared" si="22"/>
        <v>640000</v>
      </c>
      <c r="H76" s="8"/>
      <c r="K76" s="21"/>
      <c r="L76" s="21"/>
      <c r="N76" s="8">
        <v>12.0</v>
      </c>
      <c r="O76" s="20">
        <v>46189.0</v>
      </c>
      <c r="P76" s="22" t="s">
        <v>21</v>
      </c>
      <c r="Q76" s="21">
        <v>0.0</v>
      </c>
      <c r="R76" s="21">
        <f t="shared" ref="R76:R79" si="23">sum(R75+Q76)</f>
        <v>570000</v>
      </c>
    </row>
    <row r="77">
      <c r="B77" s="8">
        <v>13.0</v>
      </c>
      <c r="C77" s="20">
        <v>46129.0</v>
      </c>
      <c r="D77" s="22" t="s">
        <v>20</v>
      </c>
      <c r="E77" s="21">
        <v>50000.0</v>
      </c>
      <c r="F77" s="21">
        <f t="shared" si="22"/>
        <v>690000</v>
      </c>
      <c r="H77" s="8">
        <v>12.0</v>
      </c>
      <c r="I77" s="20">
        <v>46160.0</v>
      </c>
      <c r="J77" s="22" t="s">
        <v>19</v>
      </c>
      <c r="K77" s="21">
        <v>50000.0</v>
      </c>
      <c r="L77" s="21">
        <f>sum(L75+K77)</f>
        <v>420000</v>
      </c>
      <c r="N77" s="8">
        <v>13.0</v>
      </c>
      <c r="O77" s="20">
        <v>46190.0</v>
      </c>
      <c r="P77" s="22" t="s">
        <v>22</v>
      </c>
      <c r="Q77" s="21">
        <v>50000.0</v>
      </c>
      <c r="R77" s="21">
        <f t="shared" si="23"/>
        <v>620000</v>
      </c>
    </row>
    <row r="78">
      <c r="B78" s="8"/>
      <c r="E78" s="21"/>
      <c r="F78" s="21"/>
      <c r="H78" s="8">
        <v>13.0</v>
      </c>
      <c r="I78" s="20">
        <v>46161.0</v>
      </c>
      <c r="J78" s="22" t="s">
        <v>21</v>
      </c>
      <c r="K78" s="21">
        <v>60000.0</v>
      </c>
      <c r="L78" s="21">
        <f t="shared" ref="L78:L81" si="24">sum(L77+K78)</f>
        <v>480000</v>
      </c>
      <c r="N78" s="8">
        <v>14.0</v>
      </c>
      <c r="O78" s="20">
        <v>46191.0</v>
      </c>
      <c r="P78" s="22" t="s">
        <v>18</v>
      </c>
      <c r="Q78" s="21">
        <v>50000.0</v>
      </c>
      <c r="R78" s="21">
        <f t="shared" si="23"/>
        <v>670000</v>
      </c>
    </row>
    <row r="79">
      <c r="B79" s="8">
        <v>14.0</v>
      </c>
      <c r="C79" s="20">
        <v>46132.0</v>
      </c>
      <c r="D79" s="22" t="s">
        <v>19</v>
      </c>
      <c r="E79" s="21">
        <v>50000.0</v>
      </c>
      <c r="F79" s="21">
        <f>sum(F77+E79)</f>
        <v>740000</v>
      </c>
      <c r="H79" s="8">
        <v>14.0</v>
      </c>
      <c r="I79" s="20">
        <v>46162.0</v>
      </c>
      <c r="J79" s="22" t="s">
        <v>22</v>
      </c>
      <c r="K79" s="21">
        <v>50000.0</v>
      </c>
      <c r="L79" s="21">
        <f t="shared" si="24"/>
        <v>530000</v>
      </c>
      <c r="N79" s="8">
        <v>15.0</v>
      </c>
      <c r="O79" s="20">
        <v>46192.0</v>
      </c>
      <c r="P79" s="22" t="s">
        <v>20</v>
      </c>
      <c r="Q79" s="21">
        <v>50000.0</v>
      </c>
      <c r="R79" s="21">
        <f t="shared" si="23"/>
        <v>720000</v>
      </c>
    </row>
    <row r="80">
      <c r="B80" s="8">
        <v>15.0</v>
      </c>
      <c r="C80" s="20">
        <v>46133.0</v>
      </c>
      <c r="D80" s="22" t="s">
        <v>21</v>
      </c>
      <c r="E80" s="21">
        <v>50000.0</v>
      </c>
      <c r="F80" s="21">
        <f t="shared" ref="F80:F83" si="25">sum(F79+E80)</f>
        <v>790000</v>
      </c>
      <c r="H80" s="8">
        <v>15.0</v>
      </c>
      <c r="I80" s="20">
        <v>46163.0</v>
      </c>
      <c r="J80" s="22" t="s">
        <v>18</v>
      </c>
      <c r="K80" s="21">
        <v>60000.0</v>
      </c>
      <c r="L80" s="21">
        <f t="shared" si="24"/>
        <v>590000</v>
      </c>
      <c r="Q80" s="21"/>
      <c r="R80" s="21"/>
    </row>
    <row r="81">
      <c r="B81" s="8">
        <v>16.0</v>
      </c>
      <c r="C81" s="20">
        <v>46134.0</v>
      </c>
      <c r="D81" s="22" t="s">
        <v>22</v>
      </c>
      <c r="E81" s="21">
        <v>70000.0</v>
      </c>
      <c r="F81" s="21">
        <f t="shared" si="25"/>
        <v>860000</v>
      </c>
      <c r="H81" s="8">
        <v>16.0</v>
      </c>
      <c r="I81" s="20">
        <v>46164.0</v>
      </c>
      <c r="J81" s="22" t="s">
        <v>20</v>
      </c>
      <c r="K81" s="21">
        <v>50000.0</v>
      </c>
      <c r="L81" s="21">
        <f t="shared" si="24"/>
        <v>640000</v>
      </c>
      <c r="N81" s="8">
        <v>16.0</v>
      </c>
      <c r="O81" s="20">
        <v>46195.0</v>
      </c>
      <c r="P81" s="22" t="s">
        <v>19</v>
      </c>
      <c r="Q81" s="21">
        <v>50000.0</v>
      </c>
      <c r="R81" s="21">
        <f>sum(R79+Q81)</f>
        <v>770000</v>
      </c>
    </row>
    <row r="82">
      <c r="B82" s="8">
        <v>17.0</v>
      </c>
      <c r="C82" s="20">
        <v>46135.0</v>
      </c>
      <c r="D82" s="22" t="s">
        <v>18</v>
      </c>
      <c r="E82" s="21">
        <v>70000.0</v>
      </c>
      <c r="F82" s="21">
        <f t="shared" si="25"/>
        <v>930000</v>
      </c>
      <c r="H82" s="8"/>
      <c r="K82" s="21"/>
      <c r="L82" s="21"/>
      <c r="N82" s="8">
        <v>17.0</v>
      </c>
      <c r="O82" s="20">
        <v>46196.0</v>
      </c>
      <c r="P82" s="22" t="s">
        <v>21</v>
      </c>
      <c r="Q82" s="21">
        <v>50000.0</v>
      </c>
      <c r="R82" s="21">
        <f t="shared" ref="R82:R85" si="26">sum(R81+Q82)</f>
        <v>820000</v>
      </c>
    </row>
    <row r="83">
      <c r="B83" s="8">
        <v>18.0</v>
      </c>
      <c r="C83" s="20">
        <v>46136.0</v>
      </c>
      <c r="D83" s="22" t="s">
        <v>20</v>
      </c>
      <c r="E83" s="21">
        <v>80000.0</v>
      </c>
      <c r="F83" s="21">
        <f t="shared" si="25"/>
        <v>1010000</v>
      </c>
      <c r="H83" s="8">
        <v>17.0</v>
      </c>
      <c r="I83" s="20">
        <v>46167.0</v>
      </c>
      <c r="J83" s="22" t="s">
        <v>19</v>
      </c>
      <c r="K83" s="21">
        <v>50000.0</v>
      </c>
      <c r="L83" s="21">
        <f>sum(L81+K83)</f>
        <v>690000</v>
      </c>
      <c r="N83" s="8">
        <v>18.0</v>
      </c>
      <c r="O83" s="20">
        <v>46197.0</v>
      </c>
      <c r="P83" s="22" t="s">
        <v>22</v>
      </c>
      <c r="Q83" s="21">
        <v>50000.0</v>
      </c>
      <c r="R83" s="21">
        <f t="shared" si="26"/>
        <v>870000</v>
      </c>
    </row>
    <row r="84">
      <c r="B84" s="8"/>
      <c r="D84" s="22"/>
      <c r="E84" s="21"/>
      <c r="F84" s="21"/>
      <c r="H84" s="8">
        <v>18.0</v>
      </c>
      <c r="I84" s="20">
        <v>46168.0</v>
      </c>
      <c r="J84" s="22" t="s">
        <v>21</v>
      </c>
      <c r="K84" s="21">
        <v>50000.0</v>
      </c>
      <c r="L84" s="21">
        <f t="shared" ref="L84:L87" si="27">sum(L83+K84)</f>
        <v>740000</v>
      </c>
      <c r="N84" s="8">
        <v>19.0</v>
      </c>
      <c r="O84" s="20">
        <v>46198.0</v>
      </c>
      <c r="P84" s="22" t="s">
        <v>18</v>
      </c>
      <c r="Q84" s="21">
        <v>50000.0</v>
      </c>
      <c r="R84" s="21">
        <f t="shared" si="26"/>
        <v>920000</v>
      </c>
    </row>
    <row r="85">
      <c r="B85" s="8">
        <v>19.0</v>
      </c>
      <c r="C85" s="20">
        <v>46139.0</v>
      </c>
      <c r="D85" s="22" t="s">
        <v>19</v>
      </c>
      <c r="E85" s="21">
        <v>70000.0</v>
      </c>
      <c r="F85" s="21">
        <f>sum(F83+E85)</f>
        <v>1080000</v>
      </c>
      <c r="H85" s="8">
        <v>19.0</v>
      </c>
      <c r="I85" s="20">
        <v>46169.0</v>
      </c>
      <c r="J85" s="22" t="s">
        <v>22</v>
      </c>
      <c r="K85" s="21">
        <v>0.0</v>
      </c>
      <c r="L85" s="21">
        <f t="shared" si="27"/>
        <v>740000</v>
      </c>
      <c r="N85" s="8">
        <v>20.0</v>
      </c>
      <c r="O85" s="20">
        <v>46199.0</v>
      </c>
      <c r="P85" s="22" t="s">
        <v>20</v>
      </c>
      <c r="Q85" s="21">
        <v>50000.0</v>
      </c>
      <c r="R85" s="21">
        <f t="shared" si="26"/>
        <v>970000</v>
      </c>
    </row>
    <row r="86">
      <c r="B86" s="8">
        <v>20.0</v>
      </c>
      <c r="C86" s="20">
        <v>46140.0</v>
      </c>
      <c r="D86" s="22" t="s">
        <v>21</v>
      </c>
      <c r="E86" s="21">
        <v>70000.0</v>
      </c>
      <c r="F86" s="21">
        <f t="shared" ref="F86:F88" si="28">sum(F85+E86)</f>
        <v>1150000</v>
      </c>
      <c r="H86" s="8">
        <v>20.0</v>
      </c>
      <c r="I86" s="20">
        <v>46170.0</v>
      </c>
      <c r="J86" s="22" t="s">
        <v>18</v>
      </c>
      <c r="K86" s="21">
        <v>0.0</v>
      </c>
      <c r="L86" s="21">
        <f t="shared" si="27"/>
        <v>740000</v>
      </c>
      <c r="N86" s="8"/>
      <c r="Q86" s="21"/>
      <c r="R86" s="21"/>
    </row>
    <row r="87">
      <c r="B87" s="8">
        <v>21.0</v>
      </c>
      <c r="C87" s="20">
        <v>46141.0</v>
      </c>
      <c r="D87" s="22" t="s">
        <v>22</v>
      </c>
      <c r="E87" s="21">
        <v>50000.0</v>
      </c>
      <c r="F87" s="21">
        <f t="shared" si="28"/>
        <v>1200000</v>
      </c>
      <c r="H87" s="8">
        <v>21.0</v>
      </c>
      <c r="I87" s="20">
        <v>46171.0</v>
      </c>
      <c r="J87" s="22" t="s">
        <v>20</v>
      </c>
      <c r="K87" s="21">
        <v>0.0</v>
      </c>
      <c r="L87" s="21">
        <f t="shared" si="27"/>
        <v>740000</v>
      </c>
      <c r="N87" s="8">
        <v>21.0</v>
      </c>
      <c r="O87" s="20">
        <v>46202.0</v>
      </c>
      <c r="P87" s="22" t="s">
        <v>19</v>
      </c>
      <c r="Q87" s="21">
        <v>50000.0</v>
      </c>
      <c r="R87" s="21">
        <f>sum(R85+Q87)</f>
        <v>1020000</v>
      </c>
    </row>
    <row r="88">
      <c r="B88" s="8">
        <v>22.0</v>
      </c>
      <c r="C88" s="20">
        <v>46142.0</v>
      </c>
      <c r="D88" s="22" t="s">
        <v>18</v>
      </c>
      <c r="E88" s="21">
        <v>50000.0</v>
      </c>
      <c r="F88" s="21">
        <f t="shared" si="28"/>
        <v>1250000</v>
      </c>
      <c r="H88" s="13" t="s">
        <v>29</v>
      </c>
      <c r="K88" s="23">
        <f>L87</f>
        <v>740000</v>
      </c>
      <c r="N88" s="8">
        <v>22.0</v>
      </c>
      <c r="O88" s="20">
        <v>46203.0</v>
      </c>
      <c r="P88" s="22" t="s">
        <v>21</v>
      </c>
      <c r="Q88" s="21">
        <v>50000.0</v>
      </c>
      <c r="R88" s="21">
        <f>sum(R87+Q88)</f>
        <v>1070000</v>
      </c>
    </row>
    <row r="89">
      <c r="B89" s="13" t="s">
        <v>30</v>
      </c>
      <c r="E89" s="23">
        <f>F88</f>
        <v>1250000</v>
      </c>
      <c r="N89" s="13" t="s">
        <v>31</v>
      </c>
      <c r="Q89" s="23">
        <f>R88</f>
        <v>1070000</v>
      </c>
    </row>
    <row r="90">
      <c r="O90" s="20"/>
    </row>
    <row r="92">
      <c r="B92" s="18" t="s">
        <v>32</v>
      </c>
      <c r="H92" s="18" t="s">
        <v>33</v>
      </c>
      <c r="N92" s="18" t="s">
        <v>34</v>
      </c>
    </row>
    <row r="94">
      <c r="B94" s="27" t="s">
        <v>6</v>
      </c>
      <c r="C94" s="27" t="s">
        <v>17</v>
      </c>
      <c r="D94" s="27" t="s">
        <v>11</v>
      </c>
      <c r="E94" s="27" t="s">
        <v>9</v>
      </c>
      <c r="F94" s="27" t="s">
        <v>10</v>
      </c>
      <c r="H94" s="26" t="s">
        <v>6</v>
      </c>
      <c r="I94" s="26" t="s">
        <v>17</v>
      </c>
      <c r="J94" s="26" t="s">
        <v>11</v>
      </c>
      <c r="K94" s="26" t="s">
        <v>9</v>
      </c>
      <c r="L94" s="26" t="s">
        <v>10</v>
      </c>
      <c r="N94" s="26" t="s">
        <v>6</v>
      </c>
      <c r="O94" s="26" t="s">
        <v>17</v>
      </c>
      <c r="P94" s="26" t="s">
        <v>11</v>
      </c>
      <c r="Q94" s="26" t="s">
        <v>9</v>
      </c>
      <c r="R94" s="26" t="s">
        <v>10</v>
      </c>
    </row>
    <row r="95">
      <c r="B95" s="8">
        <v>1.0</v>
      </c>
      <c r="C95" s="20">
        <v>46204.0</v>
      </c>
      <c r="D95" s="12" t="s">
        <v>22</v>
      </c>
      <c r="E95" s="21">
        <v>50000.0</v>
      </c>
      <c r="F95" s="21">
        <f>(E95)</f>
        <v>50000</v>
      </c>
      <c r="H95" s="8">
        <v>1.0</v>
      </c>
      <c r="I95" s="20">
        <v>46237.0</v>
      </c>
      <c r="J95" s="22" t="s">
        <v>19</v>
      </c>
      <c r="K95" s="21">
        <v>25000.0</v>
      </c>
      <c r="L95" s="21">
        <f>(K95)</f>
        <v>25000</v>
      </c>
      <c r="N95" s="8">
        <v>1.0</v>
      </c>
      <c r="O95" s="20">
        <v>46266.0</v>
      </c>
      <c r="P95" s="24" t="s">
        <v>21</v>
      </c>
      <c r="Q95" s="21">
        <v>0.0</v>
      </c>
      <c r="R95" s="21">
        <f>(Q95)</f>
        <v>0</v>
      </c>
    </row>
    <row r="96">
      <c r="B96" s="8">
        <v>2.0</v>
      </c>
      <c r="C96" s="20">
        <v>46205.0</v>
      </c>
      <c r="D96" s="12" t="s">
        <v>18</v>
      </c>
      <c r="E96" s="21">
        <v>70000.0</v>
      </c>
      <c r="F96" s="21">
        <f t="shared" ref="F96:F97" si="29">sum(F95+E96)</f>
        <v>120000</v>
      </c>
      <c r="H96" s="8">
        <v>2.0</v>
      </c>
      <c r="I96" s="20">
        <v>46238.0</v>
      </c>
      <c r="J96" s="22" t="s">
        <v>21</v>
      </c>
      <c r="K96" s="21">
        <v>50000.0</v>
      </c>
      <c r="L96" s="21">
        <f t="shared" ref="L96:L99" si="30">sum(L95+K96)</f>
        <v>75000</v>
      </c>
      <c r="N96" s="8">
        <v>2.0</v>
      </c>
      <c r="O96" s="20">
        <v>46267.0</v>
      </c>
      <c r="P96" s="24" t="s">
        <v>22</v>
      </c>
      <c r="Q96" s="21">
        <v>0.0</v>
      </c>
      <c r="R96" s="21">
        <f t="shared" ref="R96:R98" si="31">sum(R95+Q96)</f>
        <v>0</v>
      </c>
    </row>
    <row r="97">
      <c r="B97" s="8">
        <v>3.0</v>
      </c>
      <c r="C97" s="20">
        <v>46206.0</v>
      </c>
      <c r="D97" s="12" t="s">
        <v>20</v>
      </c>
      <c r="E97" s="21">
        <v>0.0</v>
      </c>
      <c r="F97" s="21">
        <f t="shared" si="29"/>
        <v>120000</v>
      </c>
      <c r="H97" s="8">
        <v>3.0</v>
      </c>
      <c r="I97" s="20">
        <v>46239.0</v>
      </c>
      <c r="J97" s="22" t="s">
        <v>22</v>
      </c>
      <c r="K97" s="21">
        <v>0.0</v>
      </c>
      <c r="L97" s="21">
        <f t="shared" si="30"/>
        <v>75000</v>
      </c>
      <c r="N97" s="8">
        <v>3.0</v>
      </c>
      <c r="O97" s="20">
        <v>46268.0</v>
      </c>
      <c r="P97" s="24" t="s">
        <v>18</v>
      </c>
      <c r="Q97" s="21">
        <v>0.0</v>
      </c>
      <c r="R97" s="21">
        <f t="shared" si="31"/>
        <v>0</v>
      </c>
    </row>
    <row r="98">
      <c r="C98" s="20"/>
      <c r="E98" s="21"/>
      <c r="F98" s="21"/>
      <c r="H98" s="8">
        <v>4.0</v>
      </c>
      <c r="I98" s="20">
        <v>46240.0</v>
      </c>
      <c r="J98" s="22" t="s">
        <v>18</v>
      </c>
      <c r="K98" s="21">
        <v>50000.0</v>
      </c>
      <c r="L98" s="21">
        <f t="shared" si="30"/>
        <v>125000</v>
      </c>
      <c r="N98" s="8">
        <v>4.0</v>
      </c>
      <c r="O98" s="20">
        <v>46269.0</v>
      </c>
      <c r="P98" s="24" t="s">
        <v>20</v>
      </c>
      <c r="Q98" s="21">
        <v>0.0</v>
      </c>
      <c r="R98" s="21">
        <f t="shared" si="31"/>
        <v>0</v>
      </c>
    </row>
    <row r="99">
      <c r="B99" s="8">
        <v>4.0</v>
      </c>
      <c r="C99" s="20">
        <v>46209.0</v>
      </c>
      <c r="D99" s="22" t="s">
        <v>19</v>
      </c>
      <c r="E99" s="21">
        <v>50000.0</v>
      </c>
      <c r="F99" s="21">
        <f>sum(F97+E99)</f>
        <v>170000</v>
      </c>
      <c r="H99" s="8">
        <v>5.0</v>
      </c>
      <c r="I99" s="20">
        <v>46241.0</v>
      </c>
      <c r="J99" s="22" t="s">
        <v>20</v>
      </c>
      <c r="K99" s="21">
        <v>50000.0</v>
      </c>
      <c r="L99" s="21">
        <f t="shared" si="30"/>
        <v>175000</v>
      </c>
      <c r="N99" s="8"/>
      <c r="O99" s="20"/>
      <c r="P99" s="12"/>
      <c r="Q99" s="21"/>
      <c r="R99" s="21"/>
    </row>
    <row r="100">
      <c r="B100" s="8">
        <v>5.0</v>
      </c>
      <c r="C100" s="20">
        <v>46210.0</v>
      </c>
      <c r="D100" s="22" t="s">
        <v>21</v>
      </c>
      <c r="E100" s="21">
        <v>50000.0</v>
      </c>
      <c r="F100" s="21">
        <f t="shared" ref="F100:F103" si="32">sum(F99+E100)</f>
        <v>220000</v>
      </c>
      <c r="H100" s="8"/>
      <c r="K100" s="21"/>
      <c r="L100" s="21"/>
      <c r="N100" s="8">
        <v>5.0</v>
      </c>
      <c r="O100" s="20">
        <v>46272.0</v>
      </c>
      <c r="P100" s="24" t="s">
        <v>19</v>
      </c>
      <c r="Q100" s="21">
        <v>0.0</v>
      </c>
      <c r="R100" s="21">
        <f>sum(R98+Q100)</f>
        <v>0</v>
      </c>
    </row>
    <row r="101">
      <c r="B101" s="8">
        <v>6.0</v>
      </c>
      <c r="C101" s="20">
        <v>46211.0</v>
      </c>
      <c r="D101" s="22" t="s">
        <v>22</v>
      </c>
      <c r="E101" s="21">
        <v>50000.0</v>
      </c>
      <c r="F101" s="21">
        <f t="shared" si="32"/>
        <v>270000</v>
      </c>
      <c r="H101" s="8">
        <v>6.0</v>
      </c>
      <c r="I101" s="20">
        <v>46244.0</v>
      </c>
      <c r="J101" s="22" t="s">
        <v>19</v>
      </c>
      <c r="K101" s="21">
        <v>50000.0</v>
      </c>
      <c r="L101" s="21">
        <f>sum(L99+K101)</f>
        <v>225000</v>
      </c>
      <c r="N101" s="8">
        <v>6.0</v>
      </c>
      <c r="O101" s="20">
        <v>46273.0</v>
      </c>
      <c r="P101" s="24" t="s">
        <v>21</v>
      </c>
      <c r="Q101" s="21">
        <v>0.0</v>
      </c>
      <c r="R101" s="21">
        <f t="shared" ref="R101:R104" si="33">sum(R100+Q101)</f>
        <v>0</v>
      </c>
    </row>
    <row r="102">
      <c r="B102" s="8">
        <v>7.0</v>
      </c>
      <c r="C102" s="20">
        <v>46212.0</v>
      </c>
      <c r="D102" s="22" t="s">
        <v>18</v>
      </c>
      <c r="E102" s="21">
        <v>50000.0</v>
      </c>
      <c r="F102" s="21">
        <f t="shared" si="32"/>
        <v>320000</v>
      </c>
      <c r="H102" s="8">
        <v>7.0</v>
      </c>
      <c r="I102" s="20">
        <v>46245.0</v>
      </c>
      <c r="J102" s="22" t="s">
        <v>21</v>
      </c>
      <c r="K102" s="21">
        <v>50000.0</v>
      </c>
      <c r="L102" s="21">
        <f t="shared" ref="L102:L105" si="34">sum(L101+K102)</f>
        <v>275000</v>
      </c>
      <c r="N102" s="8">
        <v>7.0</v>
      </c>
      <c r="O102" s="20">
        <v>46274.0</v>
      </c>
      <c r="P102" s="24" t="s">
        <v>22</v>
      </c>
      <c r="Q102" s="21">
        <v>0.0</v>
      </c>
      <c r="R102" s="21">
        <f t="shared" si="33"/>
        <v>0</v>
      </c>
    </row>
    <row r="103">
      <c r="B103" s="8">
        <v>8.0</v>
      </c>
      <c r="C103" s="20">
        <v>46213.0</v>
      </c>
      <c r="D103" s="22" t="s">
        <v>20</v>
      </c>
      <c r="E103" s="21">
        <v>50000.0</v>
      </c>
      <c r="F103" s="21">
        <f t="shared" si="32"/>
        <v>370000</v>
      </c>
      <c r="H103" s="8">
        <v>8.0</v>
      </c>
      <c r="I103" s="20">
        <v>46246.0</v>
      </c>
      <c r="J103" s="22" t="s">
        <v>22</v>
      </c>
      <c r="K103" s="21">
        <v>50000.0</v>
      </c>
      <c r="L103" s="21">
        <f t="shared" si="34"/>
        <v>325000</v>
      </c>
      <c r="N103" s="8">
        <v>8.0</v>
      </c>
      <c r="O103" s="20">
        <v>46275.0</v>
      </c>
      <c r="P103" s="24" t="s">
        <v>18</v>
      </c>
      <c r="Q103" s="21">
        <v>0.0</v>
      </c>
      <c r="R103" s="21">
        <f t="shared" si="33"/>
        <v>0</v>
      </c>
    </row>
    <row r="104">
      <c r="B104" s="8"/>
      <c r="E104" s="21"/>
      <c r="F104" s="21"/>
      <c r="H104" s="8">
        <v>9.0</v>
      </c>
      <c r="I104" s="20">
        <v>46247.0</v>
      </c>
      <c r="J104" s="22" t="s">
        <v>18</v>
      </c>
      <c r="K104" s="21">
        <v>50000.0</v>
      </c>
      <c r="L104" s="21">
        <f t="shared" si="34"/>
        <v>375000</v>
      </c>
      <c r="N104" s="8">
        <v>9.0</v>
      </c>
      <c r="O104" s="20">
        <v>46276.0</v>
      </c>
      <c r="P104" s="24" t="s">
        <v>20</v>
      </c>
      <c r="Q104" s="21">
        <v>0.0</v>
      </c>
      <c r="R104" s="21">
        <f t="shared" si="33"/>
        <v>0</v>
      </c>
    </row>
    <row r="105">
      <c r="B105" s="8">
        <v>9.0</v>
      </c>
      <c r="C105" s="20">
        <v>46216.0</v>
      </c>
      <c r="D105" s="22" t="s">
        <v>19</v>
      </c>
      <c r="E105" s="21">
        <v>50000.0</v>
      </c>
      <c r="F105" s="21">
        <f>sum(F103+E105)</f>
        <v>420000</v>
      </c>
      <c r="H105" s="8">
        <v>10.0</v>
      </c>
      <c r="I105" s="20">
        <v>46248.0</v>
      </c>
      <c r="J105" s="22" t="s">
        <v>20</v>
      </c>
      <c r="K105" s="21">
        <v>50000.0</v>
      </c>
      <c r="L105" s="21">
        <f t="shared" si="34"/>
        <v>425000</v>
      </c>
      <c r="N105" s="12"/>
      <c r="O105" s="12"/>
      <c r="P105" s="12"/>
      <c r="Q105" s="21"/>
      <c r="R105" s="21"/>
    </row>
    <row r="106">
      <c r="B106" s="8">
        <v>10.0</v>
      </c>
      <c r="C106" s="20">
        <v>46217.0</v>
      </c>
      <c r="D106" s="22" t="s">
        <v>21</v>
      </c>
      <c r="E106" s="21">
        <v>50000.0</v>
      </c>
      <c r="F106" s="21">
        <f t="shared" ref="F106:F109" si="35">sum(F105+E106)</f>
        <v>470000</v>
      </c>
      <c r="K106" s="21"/>
      <c r="L106" s="21"/>
      <c r="N106" s="8">
        <v>10.0</v>
      </c>
      <c r="O106" s="20">
        <v>46279.0</v>
      </c>
      <c r="P106" s="24" t="s">
        <v>19</v>
      </c>
      <c r="Q106" s="21">
        <v>0.0</v>
      </c>
      <c r="R106" s="21">
        <f>sum(R104+Q106)</f>
        <v>0</v>
      </c>
    </row>
    <row r="107">
      <c r="B107" s="8">
        <v>11.0</v>
      </c>
      <c r="C107" s="20">
        <v>46218.0</v>
      </c>
      <c r="D107" s="22" t="s">
        <v>22</v>
      </c>
      <c r="E107" s="21">
        <v>50000.0</v>
      </c>
      <c r="F107" s="21">
        <f t="shared" si="35"/>
        <v>520000</v>
      </c>
      <c r="H107" s="8">
        <v>11.0</v>
      </c>
      <c r="I107" s="20">
        <v>46251.0</v>
      </c>
      <c r="J107" s="22" t="s">
        <v>19</v>
      </c>
      <c r="K107" s="21">
        <v>0.0</v>
      </c>
      <c r="L107" s="21">
        <f>sum(L105+K107)</f>
        <v>425000</v>
      </c>
      <c r="N107" s="8">
        <v>11.0</v>
      </c>
      <c r="O107" s="20">
        <v>46280.0</v>
      </c>
      <c r="P107" s="24" t="s">
        <v>21</v>
      </c>
      <c r="Q107" s="21">
        <v>0.0</v>
      </c>
      <c r="R107" s="21">
        <f t="shared" ref="R107:R110" si="36">sum(R106+Q107)</f>
        <v>0</v>
      </c>
    </row>
    <row r="108">
      <c r="B108" s="8">
        <v>12.0</v>
      </c>
      <c r="C108" s="20">
        <v>46219.0</v>
      </c>
      <c r="D108" s="22" t="s">
        <v>18</v>
      </c>
      <c r="E108" s="21">
        <v>50000.0</v>
      </c>
      <c r="F108" s="21">
        <f t="shared" si="35"/>
        <v>570000</v>
      </c>
      <c r="H108" s="8">
        <v>12.0</v>
      </c>
      <c r="I108" s="20">
        <v>46252.0</v>
      </c>
      <c r="J108" s="22" t="s">
        <v>21</v>
      </c>
      <c r="K108" s="21">
        <v>50000.0</v>
      </c>
      <c r="L108" s="21">
        <f t="shared" ref="L108:L111" si="37">sum(L107+K108)</f>
        <v>475000</v>
      </c>
      <c r="N108" s="8">
        <v>12.0</v>
      </c>
      <c r="O108" s="20">
        <v>46281.0</v>
      </c>
      <c r="P108" s="24" t="s">
        <v>22</v>
      </c>
      <c r="Q108" s="21">
        <v>0.0</v>
      </c>
      <c r="R108" s="21">
        <f t="shared" si="36"/>
        <v>0</v>
      </c>
    </row>
    <row r="109">
      <c r="B109" s="8">
        <v>13.0</v>
      </c>
      <c r="C109" s="20">
        <v>46220.0</v>
      </c>
      <c r="D109" s="22" t="s">
        <v>20</v>
      </c>
      <c r="E109" s="21">
        <v>0.0</v>
      </c>
      <c r="F109" s="21">
        <f t="shared" si="35"/>
        <v>570000</v>
      </c>
      <c r="H109" s="8">
        <v>13.0</v>
      </c>
      <c r="I109" s="20">
        <v>46253.0</v>
      </c>
      <c r="J109" s="22" t="s">
        <v>22</v>
      </c>
      <c r="K109" s="21">
        <v>50000.0</v>
      </c>
      <c r="L109" s="21">
        <f t="shared" si="37"/>
        <v>525000</v>
      </c>
      <c r="N109" s="8">
        <v>13.0</v>
      </c>
      <c r="O109" s="20">
        <v>46282.0</v>
      </c>
      <c r="P109" s="24" t="s">
        <v>18</v>
      </c>
      <c r="Q109" s="21">
        <v>0.0</v>
      </c>
      <c r="R109" s="21">
        <f t="shared" si="36"/>
        <v>0</v>
      </c>
    </row>
    <row r="110">
      <c r="B110" s="8"/>
      <c r="E110" s="21"/>
      <c r="F110" s="21"/>
      <c r="H110" s="8">
        <v>14.0</v>
      </c>
      <c r="I110" s="20">
        <v>46254.0</v>
      </c>
      <c r="J110" s="22" t="s">
        <v>18</v>
      </c>
      <c r="K110" s="21">
        <v>0.0</v>
      </c>
      <c r="L110" s="21">
        <f t="shared" si="37"/>
        <v>525000</v>
      </c>
      <c r="N110" s="8">
        <v>14.0</v>
      </c>
      <c r="O110" s="20">
        <v>46283.0</v>
      </c>
      <c r="P110" s="24" t="s">
        <v>20</v>
      </c>
      <c r="Q110" s="21">
        <v>0.0</v>
      </c>
      <c r="R110" s="21">
        <f t="shared" si="36"/>
        <v>0</v>
      </c>
    </row>
    <row r="111">
      <c r="B111" s="8">
        <v>14.0</v>
      </c>
      <c r="C111" s="20">
        <v>46223.0</v>
      </c>
      <c r="D111" s="22" t="s">
        <v>19</v>
      </c>
      <c r="E111" s="21">
        <v>0.0</v>
      </c>
      <c r="F111" s="21">
        <f>sum(F109+E111)</f>
        <v>570000</v>
      </c>
      <c r="H111" s="8">
        <v>15.0</v>
      </c>
      <c r="I111" s="20">
        <v>46255.0</v>
      </c>
      <c r="J111" s="22" t="s">
        <v>20</v>
      </c>
      <c r="K111" s="21">
        <v>0.0</v>
      </c>
      <c r="L111" s="21">
        <f t="shared" si="37"/>
        <v>525000</v>
      </c>
      <c r="N111" s="12"/>
      <c r="O111" s="12"/>
      <c r="P111" s="12"/>
      <c r="Q111" s="21"/>
      <c r="R111" s="21"/>
    </row>
    <row r="112">
      <c r="B112" s="8">
        <v>15.0</v>
      </c>
      <c r="C112" s="20">
        <v>46224.0</v>
      </c>
      <c r="D112" s="22" t="s">
        <v>21</v>
      </c>
      <c r="E112" s="21">
        <v>50000.0</v>
      </c>
      <c r="F112" s="21">
        <f t="shared" ref="F112:F115" si="38">sum(F111+E112)</f>
        <v>620000</v>
      </c>
      <c r="K112" s="21"/>
      <c r="L112" s="21"/>
      <c r="N112" s="8">
        <v>15.0</v>
      </c>
      <c r="O112" s="20">
        <v>46286.0</v>
      </c>
      <c r="P112" s="24" t="s">
        <v>19</v>
      </c>
      <c r="Q112" s="21">
        <v>0.0</v>
      </c>
      <c r="R112" s="21">
        <f>sum(R110+Q112)</f>
        <v>0</v>
      </c>
    </row>
    <row r="113">
      <c r="B113" s="8">
        <v>16.0</v>
      </c>
      <c r="C113" s="20">
        <v>46225.0</v>
      </c>
      <c r="D113" s="22" t="s">
        <v>22</v>
      </c>
      <c r="E113" s="21">
        <v>50000.0</v>
      </c>
      <c r="F113" s="21">
        <f t="shared" si="38"/>
        <v>670000</v>
      </c>
      <c r="H113" s="8">
        <v>16.0</v>
      </c>
      <c r="I113" s="20">
        <v>46258.0</v>
      </c>
      <c r="J113" s="22" t="s">
        <v>19</v>
      </c>
      <c r="K113" s="21">
        <v>0.0</v>
      </c>
      <c r="L113" s="21">
        <f>sum(L111+K113)</f>
        <v>525000</v>
      </c>
      <c r="N113" s="8">
        <v>16.0</v>
      </c>
      <c r="O113" s="20">
        <v>46287.0</v>
      </c>
      <c r="P113" s="24" t="s">
        <v>21</v>
      </c>
      <c r="Q113" s="21">
        <v>0.0</v>
      </c>
      <c r="R113" s="21">
        <f t="shared" ref="R113:R116" si="39">sum(R112+Q113)</f>
        <v>0</v>
      </c>
    </row>
    <row r="114">
      <c r="B114" s="8">
        <v>17.0</v>
      </c>
      <c r="C114" s="20">
        <v>46226.0</v>
      </c>
      <c r="D114" s="22" t="s">
        <v>18</v>
      </c>
      <c r="E114" s="21">
        <v>0.0</v>
      </c>
      <c r="F114" s="21">
        <f t="shared" si="38"/>
        <v>670000</v>
      </c>
      <c r="H114" s="8">
        <v>17.0</v>
      </c>
      <c r="I114" s="20">
        <v>46259.0</v>
      </c>
      <c r="J114" s="22" t="s">
        <v>21</v>
      </c>
      <c r="K114" s="21">
        <v>0.0</v>
      </c>
      <c r="L114" s="21">
        <f t="shared" ref="L114:L117" si="40">sum(L113+K114)</f>
        <v>525000</v>
      </c>
      <c r="N114" s="8">
        <v>17.0</v>
      </c>
      <c r="O114" s="20">
        <v>46288.0</v>
      </c>
      <c r="P114" s="24" t="s">
        <v>22</v>
      </c>
      <c r="Q114" s="21">
        <v>0.0</v>
      </c>
      <c r="R114" s="21">
        <f t="shared" si="39"/>
        <v>0</v>
      </c>
    </row>
    <row r="115">
      <c r="B115" s="8">
        <v>18.0</v>
      </c>
      <c r="C115" s="20">
        <v>46227.0</v>
      </c>
      <c r="D115" s="22" t="s">
        <v>20</v>
      </c>
      <c r="E115" s="21">
        <v>50000.0</v>
      </c>
      <c r="F115" s="21">
        <f t="shared" si="38"/>
        <v>720000</v>
      </c>
      <c r="H115" s="8">
        <v>18.0</v>
      </c>
      <c r="I115" s="20">
        <v>46260.0</v>
      </c>
      <c r="J115" s="22" t="s">
        <v>22</v>
      </c>
      <c r="K115" s="21">
        <v>0.0</v>
      </c>
      <c r="L115" s="21">
        <f t="shared" si="40"/>
        <v>525000</v>
      </c>
      <c r="N115" s="8">
        <v>18.0</v>
      </c>
      <c r="O115" s="20">
        <v>46289.0</v>
      </c>
      <c r="P115" s="24" t="s">
        <v>18</v>
      </c>
      <c r="Q115" s="21">
        <v>0.0</v>
      </c>
      <c r="R115" s="21">
        <f t="shared" si="39"/>
        <v>0</v>
      </c>
    </row>
    <row r="116">
      <c r="B116" s="8"/>
      <c r="D116" s="22"/>
      <c r="E116" s="21"/>
      <c r="F116" s="21"/>
      <c r="H116" s="8">
        <v>19.0</v>
      </c>
      <c r="I116" s="20">
        <v>46261.0</v>
      </c>
      <c r="J116" s="22" t="s">
        <v>18</v>
      </c>
      <c r="K116" s="21">
        <v>0.0</v>
      </c>
      <c r="L116" s="21">
        <f t="shared" si="40"/>
        <v>525000</v>
      </c>
      <c r="N116" s="8">
        <v>19.0</v>
      </c>
      <c r="O116" s="20">
        <v>46290.0</v>
      </c>
      <c r="P116" s="24" t="s">
        <v>20</v>
      </c>
      <c r="Q116" s="21">
        <v>0.0</v>
      </c>
      <c r="R116" s="21">
        <f t="shared" si="39"/>
        <v>0</v>
      </c>
    </row>
    <row r="117">
      <c r="B117" s="8">
        <v>19.0</v>
      </c>
      <c r="C117" s="20">
        <v>46230.0</v>
      </c>
      <c r="D117" s="22" t="s">
        <v>19</v>
      </c>
      <c r="E117" s="21">
        <v>50000.0</v>
      </c>
      <c r="F117" s="21">
        <f>sum(F115+E117)</f>
        <v>770000</v>
      </c>
      <c r="H117" s="8">
        <v>20.0</v>
      </c>
      <c r="I117" s="20">
        <v>46262.0</v>
      </c>
      <c r="J117" s="22" t="s">
        <v>20</v>
      </c>
      <c r="K117" s="21">
        <v>0.0</v>
      </c>
      <c r="L117" s="21">
        <f t="shared" si="40"/>
        <v>525000</v>
      </c>
      <c r="N117" s="12"/>
      <c r="O117" s="12"/>
      <c r="P117" s="12"/>
      <c r="Q117" s="21"/>
      <c r="R117" s="21"/>
    </row>
    <row r="118">
      <c r="B118" s="8">
        <v>20.0</v>
      </c>
      <c r="C118" s="20">
        <v>46231.0</v>
      </c>
      <c r="D118" s="22" t="s">
        <v>21</v>
      </c>
      <c r="E118" s="21">
        <v>25000.0</v>
      </c>
      <c r="F118" s="21">
        <f t="shared" ref="F118:F121" si="41">sum(F117+E118)</f>
        <v>795000</v>
      </c>
      <c r="K118" s="21"/>
      <c r="L118" s="21"/>
      <c r="N118" s="8">
        <v>20.0</v>
      </c>
      <c r="O118" s="20">
        <v>46293.0</v>
      </c>
      <c r="P118" s="24" t="s">
        <v>19</v>
      </c>
      <c r="Q118" s="21">
        <v>0.0</v>
      </c>
      <c r="R118" s="21">
        <f>sum(R116+Q118)</f>
        <v>0</v>
      </c>
    </row>
    <row r="119">
      <c r="B119" s="8">
        <v>21.0</v>
      </c>
      <c r="C119" s="20">
        <v>46232.0</v>
      </c>
      <c r="D119" s="22" t="s">
        <v>22</v>
      </c>
      <c r="E119" s="21">
        <v>50000.0</v>
      </c>
      <c r="F119" s="21">
        <f t="shared" si="41"/>
        <v>845000</v>
      </c>
      <c r="H119" s="8">
        <v>21.0</v>
      </c>
      <c r="I119" s="20">
        <v>46265.0</v>
      </c>
      <c r="J119" s="22" t="s">
        <v>19</v>
      </c>
      <c r="K119" s="21">
        <v>0.0</v>
      </c>
      <c r="L119" s="21">
        <f>sum(L117+K119)</f>
        <v>525000</v>
      </c>
      <c r="N119" s="8">
        <v>21.0</v>
      </c>
      <c r="O119" s="20">
        <v>46294.0</v>
      </c>
      <c r="P119" s="24" t="s">
        <v>21</v>
      </c>
      <c r="Q119" s="21">
        <v>0.0</v>
      </c>
      <c r="R119" s="21">
        <f t="shared" ref="R119:R120" si="42">sum(R118+Q119)</f>
        <v>0</v>
      </c>
    </row>
    <row r="120">
      <c r="B120" s="8">
        <v>22.0</v>
      </c>
      <c r="C120" s="20">
        <v>46233.0</v>
      </c>
      <c r="D120" s="22" t="s">
        <v>18</v>
      </c>
      <c r="E120" s="21">
        <v>50000.0</v>
      </c>
      <c r="F120" s="21">
        <f t="shared" si="41"/>
        <v>895000</v>
      </c>
      <c r="H120" s="13" t="s">
        <v>35</v>
      </c>
      <c r="K120" s="23">
        <f>L119</f>
        <v>525000</v>
      </c>
      <c r="N120" s="8">
        <v>22.0</v>
      </c>
      <c r="O120" s="20">
        <v>46295.0</v>
      </c>
      <c r="P120" s="24" t="s">
        <v>22</v>
      </c>
      <c r="Q120" s="21">
        <v>0.0</v>
      </c>
      <c r="R120" s="21">
        <f t="shared" si="42"/>
        <v>0</v>
      </c>
    </row>
    <row r="121">
      <c r="B121" s="8">
        <v>23.0</v>
      </c>
      <c r="C121" s="20">
        <v>46234.0</v>
      </c>
      <c r="D121" s="22" t="s">
        <v>20</v>
      </c>
      <c r="E121" s="21">
        <v>50000.0</v>
      </c>
      <c r="F121" s="21">
        <f t="shared" si="41"/>
        <v>945000</v>
      </c>
      <c r="N121" s="13" t="s">
        <v>36</v>
      </c>
      <c r="Q121" s="23">
        <f>R120</f>
        <v>0</v>
      </c>
    </row>
    <row r="122">
      <c r="B122" s="13" t="s">
        <v>37</v>
      </c>
      <c r="E122" s="23">
        <f>F121</f>
        <v>945000</v>
      </c>
    </row>
    <row r="123">
      <c r="I123" s="20"/>
    </row>
    <row r="124">
      <c r="I124" s="20"/>
    </row>
    <row r="125">
      <c r="B125" s="28" t="s">
        <v>38</v>
      </c>
      <c r="H125" s="28" t="s">
        <v>39</v>
      </c>
      <c r="N125" s="28" t="s">
        <v>40</v>
      </c>
    </row>
    <row r="127">
      <c r="B127" s="26" t="s">
        <v>6</v>
      </c>
      <c r="C127" s="26" t="s">
        <v>17</v>
      </c>
      <c r="D127" s="26" t="s">
        <v>11</v>
      </c>
      <c r="E127" s="26" t="s">
        <v>9</v>
      </c>
      <c r="F127" s="26" t="s">
        <v>10</v>
      </c>
      <c r="H127" s="26" t="s">
        <v>6</v>
      </c>
      <c r="I127" s="26" t="s">
        <v>17</v>
      </c>
      <c r="J127" s="26" t="s">
        <v>11</v>
      </c>
      <c r="K127" s="26" t="s">
        <v>9</v>
      </c>
      <c r="L127" s="26" t="s">
        <v>10</v>
      </c>
      <c r="N127" s="26" t="s">
        <v>6</v>
      </c>
      <c r="O127" s="26" t="s">
        <v>17</v>
      </c>
      <c r="P127" s="26" t="s">
        <v>11</v>
      </c>
      <c r="Q127" s="26" t="s">
        <v>9</v>
      </c>
      <c r="R127" s="26" t="s">
        <v>10</v>
      </c>
    </row>
    <row r="128">
      <c r="B128" s="8">
        <v>1.0</v>
      </c>
      <c r="C128" s="20">
        <v>46296.0</v>
      </c>
      <c r="D128" s="12" t="s">
        <v>18</v>
      </c>
      <c r="E128" s="21">
        <v>0.0</v>
      </c>
      <c r="F128" s="21">
        <f>(E128)</f>
        <v>0</v>
      </c>
      <c r="H128" s="8">
        <v>1.0</v>
      </c>
      <c r="I128" s="29">
        <v>46328.0</v>
      </c>
      <c r="J128" s="22" t="s">
        <v>19</v>
      </c>
      <c r="K128" s="21">
        <v>0.0</v>
      </c>
      <c r="L128" s="21">
        <f>(K128)</f>
        <v>0</v>
      </c>
      <c r="N128" s="8">
        <v>1.0</v>
      </c>
      <c r="O128" s="20">
        <v>46357.0</v>
      </c>
      <c r="P128" s="22" t="s">
        <v>21</v>
      </c>
      <c r="Q128" s="21">
        <v>0.0</v>
      </c>
      <c r="R128" s="21">
        <f>(Q128)</f>
        <v>0</v>
      </c>
    </row>
    <row r="129">
      <c r="B129" s="8">
        <v>2.0</v>
      </c>
      <c r="C129" s="20">
        <v>46297.0</v>
      </c>
      <c r="D129" s="12" t="s">
        <v>20</v>
      </c>
      <c r="E129" s="21">
        <v>0.0</v>
      </c>
      <c r="F129" s="21">
        <f>sum(F128+E129)</f>
        <v>0</v>
      </c>
      <c r="H129" s="8">
        <v>2.0</v>
      </c>
      <c r="I129" s="29">
        <v>46329.0</v>
      </c>
      <c r="J129" s="22" t="s">
        <v>21</v>
      </c>
      <c r="K129" s="21">
        <v>0.0</v>
      </c>
      <c r="L129" s="21">
        <f t="shared" ref="L129:L132" si="43">sum(L128+K129)</f>
        <v>0</v>
      </c>
      <c r="N129" s="8">
        <v>2.0</v>
      </c>
      <c r="O129" s="20">
        <v>46358.0</v>
      </c>
      <c r="P129" s="22" t="s">
        <v>22</v>
      </c>
      <c r="Q129" s="21">
        <v>0.0</v>
      </c>
      <c r="R129" s="21">
        <f t="shared" ref="R129:R131" si="44">sum(R128+Q129)</f>
        <v>0</v>
      </c>
    </row>
    <row r="130">
      <c r="C130" s="20"/>
      <c r="E130" s="21"/>
      <c r="F130" s="21"/>
      <c r="H130" s="8">
        <v>3.0</v>
      </c>
      <c r="I130" s="29">
        <v>46330.0</v>
      </c>
      <c r="J130" s="22" t="s">
        <v>22</v>
      </c>
      <c r="K130" s="21">
        <v>0.0</v>
      </c>
      <c r="L130" s="21">
        <f t="shared" si="43"/>
        <v>0</v>
      </c>
      <c r="N130" s="8">
        <v>3.0</v>
      </c>
      <c r="O130" s="20">
        <v>46359.0</v>
      </c>
      <c r="P130" s="22" t="s">
        <v>18</v>
      </c>
      <c r="Q130" s="21">
        <v>0.0</v>
      </c>
      <c r="R130" s="21">
        <f t="shared" si="44"/>
        <v>0</v>
      </c>
    </row>
    <row r="131">
      <c r="B131" s="8">
        <v>3.0</v>
      </c>
      <c r="C131" s="20">
        <v>46300.0</v>
      </c>
      <c r="D131" s="22" t="s">
        <v>19</v>
      </c>
      <c r="E131" s="21">
        <v>0.0</v>
      </c>
      <c r="F131" s="21">
        <f>sum(F129+E131)</f>
        <v>0</v>
      </c>
      <c r="H131" s="8">
        <v>4.0</v>
      </c>
      <c r="I131" s="29">
        <v>46331.0</v>
      </c>
      <c r="J131" s="22" t="s">
        <v>18</v>
      </c>
      <c r="K131" s="21">
        <v>0.0</v>
      </c>
      <c r="L131" s="21">
        <f t="shared" si="43"/>
        <v>0</v>
      </c>
      <c r="N131" s="8">
        <v>4.0</v>
      </c>
      <c r="O131" s="20">
        <v>46360.0</v>
      </c>
      <c r="P131" s="22" t="s">
        <v>20</v>
      </c>
      <c r="Q131" s="21">
        <v>0.0</v>
      </c>
      <c r="R131" s="21">
        <f t="shared" si="44"/>
        <v>0</v>
      </c>
    </row>
    <row r="132">
      <c r="B132" s="8">
        <v>4.0</v>
      </c>
      <c r="C132" s="20">
        <v>46301.0</v>
      </c>
      <c r="D132" s="22" t="s">
        <v>21</v>
      </c>
      <c r="E132" s="21">
        <v>0.0</v>
      </c>
      <c r="F132" s="21">
        <f t="shared" ref="F132:F135" si="45">sum(F131+E132)</f>
        <v>0</v>
      </c>
      <c r="H132" s="8">
        <v>5.0</v>
      </c>
      <c r="I132" s="29">
        <v>46332.0</v>
      </c>
      <c r="J132" s="22" t="s">
        <v>20</v>
      </c>
      <c r="K132" s="21">
        <v>0.0</v>
      </c>
      <c r="L132" s="21">
        <f t="shared" si="43"/>
        <v>0</v>
      </c>
      <c r="O132" s="20"/>
      <c r="Q132" s="21"/>
      <c r="R132" s="21"/>
    </row>
    <row r="133">
      <c r="B133" s="8">
        <v>5.0</v>
      </c>
      <c r="C133" s="20">
        <v>46302.0</v>
      </c>
      <c r="D133" s="22" t="s">
        <v>22</v>
      </c>
      <c r="E133" s="21">
        <v>0.0</v>
      </c>
      <c r="F133" s="21">
        <f t="shared" si="45"/>
        <v>0</v>
      </c>
      <c r="K133" s="21"/>
      <c r="L133" s="21"/>
      <c r="N133" s="8">
        <v>5.0</v>
      </c>
      <c r="O133" s="20">
        <v>46363.0</v>
      </c>
      <c r="P133" s="22" t="s">
        <v>19</v>
      </c>
      <c r="Q133" s="21">
        <v>0.0</v>
      </c>
      <c r="R133" s="21">
        <f>sum(R131+Q133)</f>
        <v>0</v>
      </c>
    </row>
    <row r="134">
      <c r="B134" s="8">
        <v>6.0</v>
      </c>
      <c r="C134" s="20">
        <v>46303.0</v>
      </c>
      <c r="D134" s="22" t="s">
        <v>18</v>
      </c>
      <c r="E134" s="21">
        <v>0.0</v>
      </c>
      <c r="F134" s="21">
        <f t="shared" si="45"/>
        <v>0</v>
      </c>
      <c r="H134" s="8">
        <v>6.0</v>
      </c>
      <c r="I134" s="29">
        <v>46335.0</v>
      </c>
      <c r="J134" s="22" t="s">
        <v>19</v>
      </c>
      <c r="K134" s="21">
        <v>0.0</v>
      </c>
      <c r="L134" s="21">
        <f>sum(L132+K134)</f>
        <v>0</v>
      </c>
      <c r="N134" s="8">
        <v>6.0</v>
      </c>
      <c r="O134" s="20">
        <v>46364.0</v>
      </c>
      <c r="P134" s="22" t="s">
        <v>21</v>
      </c>
      <c r="Q134" s="21">
        <v>0.0</v>
      </c>
      <c r="R134" s="21">
        <f t="shared" ref="R134:R137" si="46">sum(R133+Q134)</f>
        <v>0</v>
      </c>
    </row>
    <row r="135">
      <c r="B135" s="8">
        <v>7.0</v>
      </c>
      <c r="C135" s="20">
        <v>46304.0</v>
      </c>
      <c r="D135" s="22" t="s">
        <v>20</v>
      </c>
      <c r="E135" s="21">
        <v>0.0</v>
      </c>
      <c r="F135" s="21">
        <f t="shared" si="45"/>
        <v>0</v>
      </c>
      <c r="H135" s="8">
        <v>7.0</v>
      </c>
      <c r="I135" s="30">
        <v>46336.0</v>
      </c>
      <c r="J135" s="22" t="s">
        <v>21</v>
      </c>
      <c r="K135" s="21">
        <v>0.0</v>
      </c>
      <c r="L135" s="21">
        <f t="shared" ref="L135:L138" si="47">sum(L134+K135)</f>
        <v>0</v>
      </c>
      <c r="N135" s="8">
        <v>7.0</v>
      </c>
      <c r="O135" s="20">
        <v>46365.0</v>
      </c>
      <c r="P135" s="22" t="s">
        <v>22</v>
      </c>
      <c r="Q135" s="21">
        <v>0.0</v>
      </c>
      <c r="R135" s="21">
        <f t="shared" si="46"/>
        <v>0</v>
      </c>
    </row>
    <row r="136">
      <c r="E136" s="21"/>
      <c r="F136" s="21"/>
      <c r="H136" s="8">
        <v>8.0</v>
      </c>
      <c r="I136" s="30">
        <v>46337.0</v>
      </c>
      <c r="J136" s="22" t="s">
        <v>22</v>
      </c>
      <c r="K136" s="21">
        <v>0.0</v>
      </c>
      <c r="L136" s="21">
        <f t="shared" si="47"/>
        <v>0</v>
      </c>
      <c r="N136" s="8">
        <v>8.0</v>
      </c>
      <c r="O136" s="20">
        <v>46366.0</v>
      </c>
      <c r="P136" s="22" t="s">
        <v>18</v>
      </c>
      <c r="Q136" s="21">
        <v>0.0</v>
      </c>
      <c r="R136" s="21">
        <f t="shared" si="46"/>
        <v>0</v>
      </c>
    </row>
    <row r="137">
      <c r="B137" s="8">
        <v>8.0</v>
      </c>
      <c r="C137" s="20">
        <v>46307.0</v>
      </c>
      <c r="D137" s="22" t="s">
        <v>19</v>
      </c>
      <c r="E137" s="21">
        <v>0.0</v>
      </c>
      <c r="F137" s="21">
        <f>sum(F135+E137)</f>
        <v>0</v>
      </c>
      <c r="H137" s="8">
        <v>9.0</v>
      </c>
      <c r="I137" s="30">
        <v>46338.0</v>
      </c>
      <c r="J137" s="22" t="s">
        <v>18</v>
      </c>
      <c r="K137" s="21">
        <v>0.0</v>
      </c>
      <c r="L137" s="21">
        <f t="shared" si="47"/>
        <v>0</v>
      </c>
      <c r="N137" s="8">
        <v>9.0</v>
      </c>
      <c r="O137" s="20">
        <v>46367.0</v>
      </c>
      <c r="P137" s="22" t="s">
        <v>20</v>
      </c>
      <c r="Q137" s="21">
        <v>0.0</v>
      </c>
      <c r="R137" s="21">
        <f t="shared" si="46"/>
        <v>0</v>
      </c>
    </row>
    <row r="138">
      <c r="B138" s="8">
        <v>9.0</v>
      </c>
      <c r="C138" s="20">
        <v>46308.0</v>
      </c>
      <c r="D138" s="22" t="s">
        <v>21</v>
      </c>
      <c r="E138" s="21">
        <v>0.0</v>
      </c>
      <c r="F138" s="21">
        <f t="shared" ref="F138:F141" si="48">sum(F137+E138)</f>
        <v>0</v>
      </c>
      <c r="H138" s="8">
        <v>10.0</v>
      </c>
      <c r="I138" s="30">
        <v>46339.0</v>
      </c>
      <c r="J138" s="22" t="s">
        <v>20</v>
      </c>
      <c r="K138" s="21">
        <v>0.0</v>
      </c>
      <c r="L138" s="21">
        <f t="shared" si="47"/>
        <v>0</v>
      </c>
      <c r="Q138" s="21"/>
      <c r="R138" s="21"/>
    </row>
    <row r="139">
      <c r="B139" s="8">
        <v>10.0</v>
      </c>
      <c r="C139" s="20">
        <v>46309.0</v>
      </c>
      <c r="D139" s="22" t="s">
        <v>22</v>
      </c>
      <c r="E139" s="21">
        <v>0.0</v>
      </c>
      <c r="F139" s="21">
        <f t="shared" si="48"/>
        <v>0</v>
      </c>
      <c r="K139" s="21"/>
      <c r="L139" s="21"/>
      <c r="N139" s="8">
        <v>10.0</v>
      </c>
      <c r="O139" s="20">
        <v>46370.0</v>
      </c>
      <c r="P139" s="22" t="s">
        <v>19</v>
      </c>
      <c r="Q139" s="21">
        <v>0.0</v>
      </c>
      <c r="R139" s="21">
        <f>sum(R137+Q139)</f>
        <v>0</v>
      </c>
    </row>
    <row r="140">
      <c r="B140" s="8">
        <v>11.0</v>
      </c>
      <c r="C140" s="20">
        <v>46310.0</v>
      </c>
      <c r="D140" s="22" t="s">
        <v>18</v>
      </c>
      <c r="E140" s="21">
        <v>0.0</v>
      </c>
      <c r="F140" s="21">
        <f t="shared" si="48"/>
        <v>0</v>
      </c>
      <c r="H140" s="8">
        <v>11.0</v>
      </c>
      <c r="I140" s="30">
        <v>46342.0</v>
      </c>
      <c r="J140" s="22" t="s">
        <v>19</v>
      </c>
      <c r="K140" s="21">
        <v>0.0</v>
      </c>
      <c r="L140" s="21">
        <f>sum(L138+K140)</f>
        <v>0</v>
      </c>
      <c r="N140" s="8">
        <v>11.0</v>
      </c>
      <c r="O140" s="20">
        <v>46371.0</v>
      </c>
      <c r="P140" s="22" t="s">
        <v>21</v>
      </c>
      <c r="Q140" s="21">
        <v>0.0</v>
      </c>
      <c r="R140" s="21">
        <f t="shared" ref="R140:R143" si="49">sum(R139+Q140)</f>
        <v>0</v>
      </c>
    </row>
    <row r="141">
      <c r="B141" s="8">
        <v>12.0</v>
      </c>
      <c r="C141" s="20">
        <v>46311.0</v>
      </c>
      <c r="D141" s="22" t="s">
        <v>20</v>
      </c>
      <c r="E141" s="21">
        <v>0.0</v>
      </c>
      <c r="F141" s="21">
        <f t="shared" si="48"/>
        <v>0</v>
      </c>
      <c r="H141" s="8">
        <v>12.0</v>
      </c>
      <c r="I141" s="30">
        <v>46343.0</v>
      </c>
      <c r="J141" s="22" t="s">
        <v>21</v>
      </c>
      <c r="K141" s="21">
        <v>0.0</v>
      </c>
      <c r="L141" s="21">
        <f t="shared" ref="L141:L144" si="50">sum(L140+K141)</f>
        <v>0</v>
      </c>
      <c r="N141" s="8">
        <v>12.0</v>
      </c>
      <c r="O141" s="20">
        <v>46372.0</v>
      </c>
      <c r="P141" s="22" t="s">
        <v>22</v>
      </c>
      <c r="Q141" s="21">
        <v>0.0</v>
      </c>
      <c r="R141" s="21">
        <f t="shared" si="49"/>
        <v>0</v>
      </c>
    </row>
    <row r="142">
      <c r="E142" s="21"/>
      <c r="F142" s="21"/>
      <c r="H142" s="8">
        <v>13.0</v>
      </c>
      <c r="I142" s="30">
        <v>46344.0</v>
      </c>
      <c r="J142" s="22" t="s">
        <v>22</v>
      </c>
      <c r="K142" s="21">
        <v>0.0</v>
      </c>
      <c r="L142" s="21">
        <f t="shared" si="50"/>
        <v>0</v>
      </c>
      <c r="N142" s="8">
        <v>13.0</v>
      </c>
      <c r="O142" s="20">
        <v>46373.0</v>
      </c>
      <c r="P142" s="22" t="s">
        <v>18</v>
      </c>
      <c r="Q142" s="21">
        <v>0.0</v>
      </c>
      <c r="R142" s="21">
        <f t="shared" si="49"/>
        <v>0</v>
      </c>
    </row>
    <row r="143">
      <c r="B143" s="8">
        <v>13.0</v>
      </c>
      <c r="C143" s="20">
        <v>46314.0</v>
      </c>
      <c r="D143" s="22" t="s">
        <v>19</v>
      </c>
      <c r="E143" s="21">
        <v>0.0</v>
      </c>
      <c r="F143" s="21">
        <f>sum(F141+E143)</f>
        <v>0</v>
      </c>
      <c r="H143" s="8">
        <v>14.0</v>
      </c>
      <c r="I143" s="30">
        <v>46345.0</v>
      </c>
      <c r="J143" s="22" t="s">
        <v>18</v>
      </c>
      <c r="K143" s="21">
        <v>0.0</v>
      </c>
      <c r="L143" s="21">
        <f t="shared" si="50"/>
        <v>0</v>
      </c>
      <c r="N143" s="8">
        <v>14.0</v>
      </c>
      <c r="O143" s="20">
        <v>46374.0</v>
      </c>
      <c r="P143" s="22" t="s">
        <v>20</v>
      </c>
      <c r="Q143" s="21">
        <v>0.0</v>
      </c>
      <c r="R143" s="21">
        <f t="shared" si="49"/>
        <v>0</v>
      </c>
    </row>
    <row r="144">
      <c r="B144" s="8">
        <v>14.0</v>
      </c>
      <c r="C144" s="20">
        <v>46315.0</v>
      </c>
      <c r="D144" s="22" t="s">
        <v>21</v>
      </c>
      <c r="E144" s="21">
        <v>0.0</v>
      </c>
      <c r="F144" s="21">
        <f t="shared" ref="F144:F147" si="51">sum(F143+E144)</f>
        <v>0</v>
      </c>
      <c r="H144" s="8">
        <v>15.0</v>
      </c>
      <c r="I144" s="30">
        <v>46346.0</v>
      </c>
      <c r="J144" s="22" t="s">
        <v>20</v>
      </c>
      <c r="K144" s="21">
        <v>0.0</v>
      </c>
      <c r="L144" s="21">
        <f t="shared" si="50"/>
        <v>0</v>
      </c>
      <c r="Q144" s="21"/>
      <c r="R144" s="21"/>
    </row>
    <row r="145">
      <c r="B145" s="8">
        <v>15.0</v>
      </c>
      <c r="C145" s="20">
        <v>46316.0</v>
      </c>
      <c r="D145" s="22" t="s">
        <v>22</v>
      </c>
      <c r="E145" s="21">
        <v>0.0</v>
      </c>
      <c r="F145" s="21">
        <f t="shared" si="51"/>
        <v>0</v>
      </c>
      <c r="K145" s="21"/>
      <c r="L145" s="21"/>
      <c r="N145" s="8">
        <v>15.0</v>
      </c>
      <c r="O145" s="20">
        <v>46377.0</v>
      </c>
      <c r="P145" s="22" t="s">
        <v>19</v>
      </c>
      <c r="Q145" s="21">
        <v>0.0</v>
      </c>
      <c r="R145" s="21">
        <f>sum(R143+Q145)</f>
        <v>0</v>
      </c>
    </row>
    <row r="146">
      <c r="B146" s="8">
        <v>16.0</v>
      </c>
      <c r="C146" s="20">
        <v>46317.0</v>
      </c>
      <c r="D146" s="22" t="s">
        <v>18</v>
      </c>
      <c r="E146" s="21">
        <v>0.0</v>
      </c>
      <c r="F146" s="21">
        <f t="shared" si="51"/>
        <v>0</v>
      </c>
      <c r="H146" s="8">
        <v>16.0</v>
      </c>
      <c r="I146" s="30">
        <v>46349.0</v>
      </c>
      <c r="J146" s="22" t="s">
        <v>19</v>
      </c>
      <c r="K146" s="21">
        <v>0.0</v>
      </c>
      <c r="L146" s="21">
        <f>sum(L144+K146)</f>
        <v>0</v>
      </c>
      <c r="N146" s="8">
        <v>16.0</v>
      </c>
      <c r="O146" s="20">
        <v>46378.0</v>
      </c>
      <c r="P146" s="22" t="s">
        <v>21</v>
      </c>
      <c r="Q146" s="21">
        <v>0.0</v>
      </c>
      <c r="R146" s="21">
        <f t="shared" ref="R146:R149" si="52">sum(R145+Q146)</f>
        <v>0</v>
      </c>
    </row>
    <row r="147">
      <c r="B147" s="8">
        <v>17.0</v>
      </c>
      <c r="C147" s="20">
        <v>46318.0</v>
      </c>
      <c r="D147" s="22" t="s">
        <v>20</v>
      </c>
      <c r="E147" s="21">
        <v>0.0</v>
      </c>
      <c r="F147" s="21">
        <f t="shared" si="51"/>
        <v>0</v>
      </c>
      <c r="H147" s="8">
        <v>17.0</v>
      </c>
      <c r="I147" s="30">
        <v>46350.0</v>
      </c>
      <c r="J147" s="22" t="s">
        <v>21</v>
      </c>
      <c r="K147" s="21">
        <v>0.0</v>
      </c>
      <c r="L147" s="21">
        <f t="shared" ref="L147:L150" si="53">sum(L146+K147)</f>
        <v>0</v>
      </c>
      <c r="N147" s="8">
        <v>17.0</v>
      </c>
      <c r="O147" s="20">
        <v>46379.0</v>
      </c>
      <c r="P147" s="22" t="s">
        <v>22</v>
      </c>
      <c r="Q147" s="21">
        <v>0.0</v>
      </c>
      <c r="R147" s="21">
        <f t="shared" si="52"/>
        <v>0</v>
      </c>
    </row>
    <row r="148">
      <c r="E148" s="21"/>
      <c r="F148" s="21"/>
      <c r="H148" s="8">
        <v>18.0</v>
      </c>
      <c r="I148" s="30">
        <v>46351.0</v>
      </c>
      <c r="J148" s="22" t="s">
        <v>22</v>
      </c>
      <c r="K148" s="21">
        <v>0.0</v>
      </c>
      <c r="L148" s="21">
        <f t="shared" si="53"/>
        <v>0</v>
      </c>
      <c r="N148" s="8">
        <v>18.0</v>
      </c>
      <c r="O148" s="20">
        <v>46380.0</v>
      </c>
      <c r="P148" s="22" t="s">
        <v>18</v>
      </c>
      <c r="Q148" s="21">
        <v>0.0</v>
      </c>
      <c r="R148" s="21">
        <f t="shared" si="52"/>
        <v>0</v>
      </c>
    </row>
    <row r="149">
      <c r="B149" s="8">
        <v>18.0</v>
      </c>
      <c r="C149" s="20">
        <v>46321.0</v>
      </c>
      <c r="D149" s="22" t="s">
        <v>19</v>
      </c>
      <c r="E149" s="21">
        <v>0.0</v>
      </c>
      <c r="F149" s="21">
        <f>sum(F147+E149)</f>
        <v>0</v>
      </c>
      <c r="H149" s="8">
        <v>19.0</v>
      </c>
      <c r="I149" s="30">
        <v>46352.0</v>
      </c>
      <c r="J149" s="22" t="s">
        <v>18</v>
      </c>
      <c r="K149" s="21">
        <v>0.0</v>
      </c>
      <c r="L149" s="21">
        <f t="shared" si="53"/>
        <v>0</v>
      </c>
      <c r="N149" s="8">
        <v>19.0</v>
      </c>
      <c r="O149" s="20">
        <v>46381.0</v>
      </c>
      <c r="P149" s="22" t="s">
        <v>20</v>
      </c>
      <c r="Q149" s="21">
        <v>0.0</v>
      </c>
      <c r="R149" s="21">
        <f t="shared" si="52"/>
        <v>0</v>
      </c>
    </row>
    <row r="150">
      <c r="B150" s="8">
        <v>19.0</v>
      </c>
      <c r="C150" s="20">
        <v>46322.0</v>
      </c>
      <c r="D150" s="22" t="s">
        <v>21</v>
      </c>
      <c r="E150" s="21">
        <v>0.0</v>
      </c>
      <c r="F150" s="21">
        <f t="shared" ref="F150:F153" si="54">sum(F149+E150)</f>
        <v>0</v>
      </c>
      <c r="H150" s="8">
        <v>20.0</v>
      </c>
      <c r="I150" s="30">
        <v>46353.0</v>
      </c>
      <c r="J150" s="22" t="s">
        <v>20</v>
      </c>
      <c r="K150" s="21">
        <v>0.0</v>
      </c>
      <c r="L150" s="21">
        <f t="shared" si="53"/>
        <v>0</v>
      </c>
      <c r="Q150" s="21"/>
      <c r="R150" s="21"/>
    </row>
    <row r="151">
      <c r="B151" s="8">
        <v>20.0</v>
      </c>
      <c r="C151" s="20">
        <v>46323.0</v>
      </c>
      <c r="D151" s="22" t="s">
        <v>22</v>
      </c>
      <c r="E151" s="21">
        <v>0.0</v>
      </c>
      <c r="F151" s="21">
        <f t="shared" si="54"/>
        <v>0</v>
      </c>
      <c r="K151" s="21"/>
      <c r="L151" s="21"/>
      <c r="N151" s="8">
        <v>20.0</v>
      </c>
      <c r="O151" s="20">
        <v>46384.0</v>
      </c>
      <c r="P151" s="22" t="s">
        <v>19</v>
      </c>
      <c r="Q151" s="21">
        <v>0.0</v>
      </c>
      <c r="R151" s="21">
        <f>sum(R149+Q151)</f>
        <v>0</v>
      </c>
    </row>
    <row r="152">
      <c r="B152" s="8">
        <v>21.0</v>
      </c>
      <c r="C152" s="20">
        <v>46324.0</v>
      </c>
      <c r="D152" s="22" t="s">
        <v>18</v>
      </c>
      <c r="E152" s="21">
        <v>0.0</v>
      </c>
      <c r="F152" s="21">
        <f t="shared" si="54"/>
        <v>0</v>
      </c>
      <c r="H152" s="8">
        <v>21.0</v>
      </c>
      <c r="I152" s="30">
        <v>46356.0</v>
      </c>
      <c r="J152" s="22" t="s">
        <v>19</v>
      </c>
      <c r="K152" s="21">
        <v>0.0</v>
      </c>
      <c r="L152" s="21">
        <f>sum(L150+K152)</f>
        <v>0</v>
      </c>
      <c r="N152" s="8">
        <v>21.0</v>
      </c>
      <c r="O152" s="20">
        <v>46385.0</v>
      </c>
      <c r="P152" s="22" t="s">
        <v>21</v>
      </c>
      <c r="Q152" s="21">
        <v>0.0</v>
      </c>
      <c r="R152" s="21">
        <f t="shared" ref="R152:R154" si="55">sum(R151+Q152)</f>
        <v>0</v>
      </c>
    </row>
    <row r="153">
      <c r="B153" s="8">
        <v>22.0</v>
      </c>
      <c r="C153" s="20">
        <v>46325.0</v>
      </c>
      <c r="D153" s="22" t="s">
        <v>20</v>
      </c>
      <c r="E153" s="21">
        <v>0.0</v>
      </c>
      <c r="F153" s="21">
        <f t="shared" si="54"/>
        <v>0</v>
      </c>
      <c r="H153" s="13" t="s">
        <v>41</v>
      </c>
      <c r="K153" s="23">
        <f>L152</f>
        <v>0</v>
      </c>
      <c r="N153" s="8">
        <v>22.0</v>
      </c>
      <c r="O153" s="20">
        <v>46386.0</v>
      </c>
      <c r="P153" s="22" t="s">
        <v>22</v>
      </c>
      <c r="Q153" s="21">
        <v>0.0</v>
      </c>
      <c r="R153" s="21">
        <f t="shared" si="55"/>
        <v>0</v>
      </c>
    </row>
    <row r="154">
      <c r="B154" s="13" t="s">
        <v>42</v>
      </c>
      <c r="E154" s="23">
        <f>F153</f>
        <v>0</v>
      </c>
      <c r="N154" s="8">
        <v>23.0</v>
      </c>
      <c r="O154" s="20">
        <v>46387.0</v>
      </c>
      <c r="P154" s="22" t="s">
        <v>18</v>
      </c>
      <c r="Q154" s="21">
        <v>0.0</v>
      </c>
      <c r="R154" s="21">
        <f t="shared" si="55"/>
        <v>0</v>
      </c>
    </row>
    <row r="155">
      <c r="I155" s="20"/>
      <c r="N155" s="13" t="s">
        <v>43</v>
      </c>
      <c r="Q155" s="23">
        <f>R154</f>
        <v>0</v>
      </c>
    </row>
  </sheetData>
  <mergeCells count="42">
    <mergeCell ref="A3:G19"/>
    <mergeCell ref="I3:L5"/>
    <mergeCell ref="N3:S4"/>
    <mergeCell ref="I6:J7"/>
    <mergeCell ref="N19:O19"/>
    <mergeCell ref="B24:R26"/>
    <mergeCell ref="B28:F29"/>
    <mergeCell ref="B57:D57"/>
    <mergeCell ref="B60:F61"/>
    <mergeCell ref="H60:L61"/>
    <mergeCell ref="N60:R61"/>
    <mergeCell ref="H28:L29"/>
    <mergeCell ref="N28:R29"/>
    <mergeCell ref="H54:J54"/>
    <mergeCell ref="K54:L54"/>
    <mergeCell ref="E57:F57"/>
    <mergeCell ref="N57:P57"/>
    <mergeCell ref="Q57:R57"/>
    <mergeCell ref="H88:J88"/>
    <mergeCell ref="K88:L88"/>
    <mergeCell ref="B89:D89"/>
    <mergeCell ref="E89:F89"/>
    <mergeCell ref="N89:P89"/>
    <mergeCell ref="Q89:R89"/>
    <mergeCell ref="B92:F93"/>
    <mergeCell ref="B122:D122"/>
    <mergeCell ref="B125:F126"/>
    <mergeCell ref="H125:L126"/>
    <mergeCell ref="N125:R126"/>
    <mergeCell ref="H153:J153"/>
    <mergeCell ref="K153:L153"/>
    <mergeCell ref="B154:D154"/>
    <mergeCell ref="E154:F154"/>
    <mergeCell ref="N155:P155"/>
    <mergeCell ref="Q155:R155"/>
    <mergeCell ref="H92:L93"/>
    <mergeCell ref="N92:R93"/>
    <mergeCell ref="H120:J120"/>
    <mergeCell ref="K120:L120"/>
    <mergeCell ref="N121:P121"/>
    <mergeCell ref="Q121:R121"/>
    <mergeCell ref="E122:F12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13"/>
    <col customWidth="1" min="3" max="3" width="18.13"/>
    <col customWidth="1" min="4" max="4" width="15.88"/>
    <col customWidth="1" min="8" max="8" width="3.75"/>
    <col customWidth="1" min="9" max="9" width="16.38"/>
    <col customWidth="1" min="10" max="10" width="14.75"/>
    <col customWidth="1" min="11" max="12" width="13.5"/>
    <col customWidth="1" min="14" max="14" width="3.63"/>
    <col customWidth="1" min="15" max="15" width="16.38"/>
    <col customWidth="1" min="16" max="16" width="14.5"/>
    <col customWidth="1" min="17" max="18" width="13.63"/>
  </cols>
  <sheetData>
    <row r="3">
      <c r="A3" s="1" t="s">
        <v>4</v>
      </c>
      <c r="I3" s="2" t="s">
        <v>1</v>
      </c>
      <c r="N3" s="3" t="s">
        <v>2</v>
      </c>
    </row>
    <row r="6">
      <c r="H6" s="4"/>
      <c r="I6" s="5">
        <v>1200000.0</v>
      </c>
      <c r="N6" s="6" t="s">
        <v>6</v>
      </c>
      <c r="O6" s="6" t="s">
        <v>7</v>
      </c>
      <c r="P6" s="7" t="s">
        <v>8</v>
      </c>
      <c r="Q6" s="6" t="s">
        <v>9</v>
      </c>
      <c r="R6" s="6" t="s">
        <v>10</v>
      </c>
      <c r="S6" s="6" t="s">
        <v>11</v>
      </c>
    </row>
    <row r="7">
      <c r="H7" s="4"/>
      <c r="N7" s="8">
        <v>1.0</v>
      </c>
      <c r="O7" s="9">
        <v>46023.0</v>
      </c>
      <c r="P7" s="10">
        <f t="shared" ref="P7:P18" si="1">$I$6</f>
        <v>1200000</v>
      </c>
      <c r="Q7" s="11">
        <f>E57</f>
        <v>950000</v>
      </c>
      <c r="R7" s="11">
        <f t="shared" ref="R7:R18" si="2">sum(Q7-P7)</f>
        <v>-250000</v>
      </c>
      <c r="S7" s="8"/>
    </row>
    <row r="8">
      <c r="H8" s="4"/>
      <c r="N8" s="8">
        <v>2.0</v>
      </c>
      <c r="O8" s="9">
        <v>46054.0</v>
      </c>
      <c r="P8" s="10">
        <f t="shared" si="1"/>
        <v>1200000</v>
      </c>
      <c r="Q8" s="11">
        <f>K54</f>
        <v>900000</v>
      </c>
      <c r="R8" s="11">
        <f t="shared" si="2"/>
        <v>-300000</v>
      </c>
      <c r="S8" s="12"/>
    </row>
    <row r="9">
      <c r="H9" s="4"/>
      <c r="N9" s="8">
        <v>3.0</v>
      </c>
      <c r="O9" s="9">
        <v>46082.0</v>
      </c>
      <c r="P9" s="10">
        <f t="shared" si="1"/>
        <v>1200000</v>
      </c>
      <c r="Q9" s="11">
        <f>Q57</f>
        <v>650000</v>
      </c>
      <c r="R9" s="11">
        <f t="shared" si="2"/>
        <v>-550000</v>
      </c>
      <c r="S9" s="12"/>
    </row>
    <row r="10">
      <c r="H10" s="4"/>
      <c r="N10" s="8">
        <v>4.0</v>
      </c>
      <c r="O10" s="9">
        <v>46113.0</v>
      </c>
      <c r="P10" s="10">
        <f t="shared" si="1"/>
        <v>1200000</v>
      </c>
      <c r="Q10" s="11">
        <f>E89</f>
        <v>1050000</v>
      </c>
      <c r="R10" s="11">
        <f t="shared" si="2"/>
        <v>-150000</v>
      </c>
      <c r="S10" s="12"/>
    </row>
    <row r="11">
      <c r="H11" s="4"/>
      <c r="N11" s="8">
        <v>5.0</v>
      </c>
      <c r="O11" s="9">
        <v>46143.0</v>
      </c>
      <c r="P11" s="10">
        <f t="shared" si="1"/>
        <v>1200000</v>
      </c>
      <c r="Q11" s="11">
        <f>K88</f>
        <v>750000</v>
      </c>
      <c r="R11" s="11">
        <f t="shared" si="2"/>
        <v>-450000</v>
      </c>
      <c r="S11" s="12"/>
    </row>
    <row r="12">
      <c r="H12" s="4"/>
      <c r="N12" s="8">
        <v>6.0</v>
      </c>
      <c r="O12" s="9">
        <v>46174.0</v>
      </c>
      <c r="P12" s="10">
        <f t="shared" si="1"/>
        <v>1200000</v>
      </c>
      <c r="Q12" s="11">
        <f>Q89</f>
        <v>1000000</v>
      </c>
      <c r="R12" s="11">
        <f t="shared" si="2"/>
        <v>-200000</v>
      </c>
      <c r="S12" s="12"/>
    </row>
    <row r="13">
      <c r="H13" s="4"/>
      <c r="N13" s="8">
        <v>7.0</v>
      </c>
      <c r="O13" s="9">
        <v>46204.0</v>
      </c>
      <c r="P13" s="10">
        <f t="shared" si="1"/>
        <v>1200000</v>
      </c>
      <c r="Q13" s="11">
        <f>E122</f>
        <v>1150000</v>
      </c>
      <c r="R13" s="11">
        <f t="shared" si="2"/>
        <v>-50000</v>
      </c>
      <c r="S13" s="12"/>
    </row>
    <row r="14">
      <c r="H14" s="4"/>
      <c r="N14" s="8">
        <v>8.0</v>
      </c>
      <c r="O14" s="9">
        <v>46235.0</v>
      </c>
      <c r="P14" s="10">
        <f t="shared" si="1"/>
        <v>1200000</v>
      </c>
      <c r="Q14" s="11">
        <f>K120</f>
        <v>600000</v>
      </c>
      <c r="R14" s="11">
        <f t="shared" si="2"/>
        <v>-600000</v>
      </c>
      <c r="S14" s="12"/>
    </row>
    <row r="15">
      <c r="H15" s="4"/>
      <c r="N15" s="8">
        <v>9.0</v>
      </c>
      <c r="O15" s="9">
        <v>46266.0</v>
      </c>
      <c r="P15" s="10">
        <f t="shared" si="1"/>
        <v>1200000</v>
      </c>
      <c r="Q15" s="11">
        <f>Q121</f>
        <v>0</v>
      </c>
      <c r="R15" s="11">
        <f t="shared" si="2"/>
        <v>-1200000</v>
      </c>
      <c r="S15" s="12"/>
    </row>
    <row r="16">
      <c r="H16" s="4"/>
      <c r="N16" s="8">
        <v>10.0</v>
      </c>
      <c r="O16" s="9">
        <v>46296.0</v>
      </c>
      <c r="P16" s="10">
        <f t="shared" si="1"/>
        <v>1200000</v>
      </c>
      <c r="Q16" s="11">
        <f>E154</f>
        <v>0</v>
      </c>
      <c r="R16" s="11">
        <f t="shared" si="2"/>
        <v>-1200000</v>
      </c>
      <c r="S16" s="12"/>
    </row>
    <row r="17">
      <c r="N17" s="8">
        <v>11.0</v>
      </c>
      <c r="O17" s="9">
        <v>46327.0</v>
      </c>
      <c r="P17" s="10">
        <f t="shared" si="1"/>
        <v>1200000</v>
      </c>
      <c r="Q17" s="11">
        <f>K153</f>
        <v>0</v>
      </c>
      <c r="R17" s="11">
        <f t="shared" si="2"/>
        <v>-1200000</v>
      </c>
      <c r="S17" s="12"/>
    </row>
    <row r="18">
      <c r="N18" s="8">
        <v>12.0</v>
      </c>
      <c r="O18" s="9">
        <v>46357.0</v>
      </c>
      <c r="P18" s="10">
        <f t="shared" si="1"/>
        <v>1200000</v>
      </c>
      <c r="Q18" s="11">
        <f>Q155</f>
        <v>0</v>
      </c>
      <c r="R18" s="11">
        <f t="shared" si="2"/>
        <v>-1200000</v>
      </c>
      <c r="S18" s="12"/>
    </row>
    <row r="19">
      <c r="N19" s="13" t="s">
        <v>12</v>
      </c>
      <c r="P19" s="14">
        <f>sum(P7:P18)</f>
        <v>14400000</v>
      </c>
      <c r="Q19" s="15">
        <f t="shared" ref="Q19:R19" si="3">SUM(Q7:Q18)</f>
        <v>7050000</v>
      </c>
      <c r="R19" s="14">
        <f t="shared" si="3"/>
        <v>-7350000</v>
      </c>
      <c r="S19" s="16"/>
    </row>
    <row r="24">
      <c r="B24" s="17" t="s">
        <v>13</v>
      </c>
    </row>
    <row r="28">
      <c r="B28" s="18" t="s">
        <v>14</v>
      </c>
      <c r="H28" s="18" t="s">
        <v>15</v>
      </c>
      <c r="N28" s="18" t="s">
        <v>16</v>
      </c>
    </row>
    <row r="30">
      <c r="B30" s="19" t="s">
        <v>6</v>
      </c>
      <c r="C30" s="13" t="s">
        <v>17</v>
      </c>
      <c r="D30" s="13" t="s">
        <v>11</v>
      </c>
      <c r="E30" s="13" t="s">
        <v>9</v>
      </c>
      <c r="F30" s="13" t="s">
        <v>10</v>
      </c>
      <c r="H30" s="13" t="s">
        <v>6</v>
      </c>
      <c r="I30" s="13" t="s">
        <v>17</v>
      </c>
      <c r="J30" s="13" t="s">
        <v>11</v>
      </c>
      <c r="K30" s="13" t="s">
        <v>9</v>
      </c>
      <c r="L30" s="13" t="s">
        <v>10</v>
      </c>
      <c r="N30" s="13" t="s">
        <v>6</v>
      </c>
      <c r="O30" s="13" t="s">
        <v>17</v>
      </c>
      <c r="P30" s="13" t="s">
        <v>11</v>
      </c>
      <c r="Q30" s="13" t="s">
        <v>9</v>
      </c>
      <c r="R30" s="13" t="s">
        <v>10</v>
      </c>
    </row>
    <row r="31">
      <c r="B31" s="8">
        <v>1.0</v>
      </c>
      <c r="C31" s="20">
        <v>46023.0</v>
      </c>
      <c r="D31" s="12" t="s">
        <v>18</v>
      </c>
      <c r="E31" s="21">
        <v>0.0</v>
      </c>
      <c r="F31" s="21">
        <f>(E31)</f>
        <v>0</v>
      </c>
      <c r="H31" s="8">
        <v>1.0</v>
      </c>
      <c r="I31" s="20">
        <v>46055.0</v>
      </c>
      <c r="J31" s="12" t="s">
        <v>19</v>
      </c>
      <c r="K31" s="21">
        <v>50000.0</v>
      </c>
      <c r="L31" s="21">
        <f>K31</f>
        <v>50000</v>
      </c>
      <c r="N31" s="8">
        <v>1.0</v>
      </c>
      <c r="O31" s="20">
        <v>46083.0</v>
      </c>
      <c r="P31" s="12" t="s">
        <v>19</v>
      </c>
      <c r="Q31" s="21">
        <v>50000.0</v>
      </c>
      <c r="R31" s="21">
        <f>Q31</f>
        <v>50000</v>
      </c>
    </row>
    <row r="32">
      <c r="B32" s="8">
        <v>2.0</v>
      </c>
      <c r="C32" s="20">
        <v>46024.0</v>
      </c>
      <c r="D32" s="12" t="s">
        <v>20</v>
      </c>
      <c r="E32" s="21">
        <v>0.0</v>
      </c>
      <c r="F32" s="21">
        <f>sum(F31+E32)</f>
        <v>0</v>
      </c>
      <c r="H32" s="8">
        <v>2.0</v>
      </c>
      <c r="I32" s="20">
        <v>46056.0</v>
      </c>
      <c r="J32" s="12" t="s">
        <v>21</v>
      </c>
      <c r="K32" s="21">
        <v>50000.0</v>
      </c>
      <c r="L32" s="21">
        <f t="shared" ref="L32:L35" si="4">sum(L31+K32)</f>
        <v>100000</v>
      </c>
      <c r="N32" s="8">
        <v>2.0</v>
      </c>
      <c r="O32" s="20">
        <v>46084.0</v>
      </c>
      <c r="P32" s="12" t="s">
        <v>21</v>
      </c>
      <c r="Q32" s="21">
        <v>50000.0</v>
      </c>
      <c r="R32" s="21">
        <f t="shared" ref="R32:R35" si="5">sum(R31+Q32)</f>
        <v>100000</v>
      </c>
    </row>
    <row r="33">
      <c r="B33" s="12"/>
      <c r="C33" s="20"/>
      <c r="D33" s="12"/>
      <c r="E33" s="21"/>
      <c r="F33" s="21"/>
      <c r="H33" s="8">
        <v>3.0</v>
      </c>
      <c r="I33" s="20">
        <v>46057.0</v>
      </c>
      <c r="J33" s="12" t="s">
        <v>22</v>
      </c>
      <c r="K33" s="21">
        <v>50000.0</v>
      </c>
      <c r="L33" s="21">
        <f t="shared" si="4"/>
        <v>150000</v>
      </c>
      <c r="N33" s="8">
        <v>3.0</v>
      </c>
      <c r="O33" s="20">
        <v>46085.0</v>
      </c>
      <c r="P33" s="12" t="s">
        <v>22</v>
      </c>
      <c r="Q33" s="21">
        <v>50000.0</v>
      </c>
      <c r="R33" s="21">
        <f t="shared" si="5"/>
        <v>150000</v>
      </c>
    </row>
    <row r="34">
      <c r="B34" s="8">
        <v>3.0</v>
      </c>
      <c r="C34" s="20">
        <v>46027.0</v>
      </c>
      <c r="D34" s="12" t="s">
        <v>19</v>
      </c>
      <c r="E34" s="21">
        <v>50000.0</v>
      </c>
      <c r="F34" s="21">
        <f>sum(F32+E34)</f>
        <v>50000</v>
      </c>
      <c r="H34" s="8">
        <v>4.0</v>
      </c>
      <c r="I34" s="20">
        <v>46058.0</v>
      </c>
      <c r="J34" s="12" t="s">
        <v>18</v>
      </c>
      <c r="K34" s="21">
        <v>50000.0</v>
      </c>
      <c r="L34" s="21">
        <f t="shared" si="4"/>
        <v>200000</v>
      </c>
      <c r="N34" s="8">
        <v>4.0</v>
      </c>
      <c r="O34" s="20">
        <v>46086.0</v>
      </c>
      <c r="P34" s="12" t="s">
        <v>18</v>
      </c>
      <c r="Q34" s="21">
        <v>50000.0</v>
      </c>
      <c r="R34" s="21">
        <f t="shared" si="5"/>
        <v>200000</v>
      </c>
    </row>
    <row r="35">
      <c r="B35" s="8">
        <v>4.0</v>
      </c>
      <c r="C35" s="20">
        <v>46028.0</v>
      </c>
      <c r="D35" s="12" t="s">
        <v>21</v>
      </c>
      <c r="E35" s="21">
        <v>50000.0</v>
      </c>
      <c r="F35" s="21">
        <f t="shared" ref="F35:F38" si="6">sum(F34+E35)</f>
        <v>100000</v>
      </c>
      <c r="H35" s="8">
        <v>5.0</v>
      </c>
      <c r="I35" s="20">
        <v>46059.0</v>
      </c>
      <c r="J35" s="12" t="s">
        <v>20</v>
      </c>
      <c r="K35" s="21">
        <v>50000.0</v>
      </c>
      <c r="L35" s="21">
        <f t="shared" si="4"/>
        <v>250000</v>
      </c>
      <c r="N35" s="8">
        <v>5.0</v>
      </c>
      <c r="O35" s="20">
        <v>46087.0</v>
      </c>
      <c r="P35" s="12" t="s">
        <v>20</v>
      </c>
      <c r="Q35" s="21">
        <v>50000.0</v>
      </c>
      <c r="R35" s="21">
        <f t="shared" si="5"/>
        <v>250000</v>
      </c>
    </row>
    <row r="36">
      <c r="B36" s="8">
        <v>5.0</v>
      </c>
      <c r="C36" s="20">
        <v>46029.0</v>
      </c>
      <c r="D36" s="12" t="s">
        <v>22</v>
      </c>
      <c r="E36" s="21">
        <v>50000.0</v>
      </c>
      <c r="F36" s="21">
        <f t="shared" si="6"/>
        <v>150000</v>
      </c>
      <c r="H36" s="8"/>
      <c r="J36" s="12"/>
      <c r="K36" s="21"/>
      <c r="L36" s="21"/>
      <c r="N36" s="8"/>
      <c r="P36" s="12"/>
      <c r="Q36" s="21"/>
      <c r="R36" s="21"/>
    </row>
    <row r="37">
      <c r="B37" s="8">
        <v>6.0</v>
      </c>
      <c r="C37" s="20">
        <v>46030.0</v>
      </c>
      <c r="D37" s="12" t="s">
        <v>18</v>
      </c>
      <c r="E37" s="21">
        <v>50000.0</v>
      </c>
      <c r="F37" s="21">
        <f t="shared" si="6"/>
        <v>200000</v>
      </c>
      <c r="H37" s="8">
        <v>6.0</v>
      </c>
      <c r="I37" s="20">
        <v>46062.0</v>
      </c>
      <c r="J37" s="22" t="s">
        <v>19</v>
      </c>
      <c r="K37" s="21">
        <v>50000.0</v>
      </c>
      <c r="L37" s="21">
        <f>sum(L35+K37)</f>
        <v>300000</v>
      </c>
      <c r="N37" s="8">
        <v>6.0</v>
      </c>
      <c r="O37" s="20">
        <v>46090.0</v>
      </c>
      <c r="P37" s="22" t="s">
        <v>19</v>
      </c>
      <c r="Q37" s="21">
        <v>50000.0</v>
      </c>
      <c r="R37" s="21">
        <f>sum(R35+Q37)</f>
        <v>300000</v>
      </c>
    </row>
    <row r="38">
      <c r="B38" s="8">
        <v>7.0</v>
      </c>
      <c r="C38" s="20">
        <v>46031.0</v>
      </c>
      <c r="D38" s="12" t="s">
        <v>20</v>
      </c>
      <c r="E38" s="21">
        <v>50000.0</v>
      </c>
      <c r="F38" s="21">
        <f t="shared" si="6"/>
        <v>250000</v>
      </c>
      <c r="H38" s="8">
        <v>7.0</v>
      </c>
      <c r="I38" s="20">
        <v>46063.0</v>
      </c>
      <c r="J38" s="22" t="s">
        <v>21</v>
      </c>
      <c r="K38" s="21">
        <v>50000.0</v>
      </c>
      <c r="L38" s="21">
        <f t="shared" ref="L38:L41" si="7">sum(L37+K38)</f>
        <v>350000</v>
      </c>
      <c r="N38" s="8">
        <v>7.0</v>
      </c>
      <c r="O38" s="20">
        <v>46091.0</v>
      </c>
      <c r="P38" s="22" t="s">
        <v>21</v>
      </c>
      <c r="Q38" s="21">
        <v>100000.0</v>
      </c>
      <c r="R38" s="21">
        <f t="shared" ref="R38:R41" si="8">sum(R37+Q38)</f>
        <v>400000</v>
      </c>
    </row>
    <row r="39">
      <c r="B39" s="12"/>
      <c r="E39" s="21"/>
      <c r="F39" s="21"/>
      <c r="H39" s="8">
        <v>8.0</v>
      </c>
      <c r="I39" s="20">
        <v>46064.0</v>
      </c>
      <c r="J39" s="22" t="s">
        <v>22</v>
      </c>
      <c r="K39" s="21">
        <v>50000.0</v>
      </c>
      <c r="L39" s="21">
        <f t="shared" si="7"/>
        <v>400000</v>
      </c>
      <c r="N39" s="8">
        <v>8.0</v>
      </c>
      <c r="O39" s="20">
        <v>46092.0</v>
      </c>
      <c r="P39" s="22" t="s">
        <v>22</v>
      </c>
      <c r="Q39" s="21">
        <v>50000.0</v>
      </c>
      <c r="R39" s="21">
        <f t="shared" si="8"/>
        <v>450000</v>
      </c>
    </row>
    <row r="40">
      <c r="B40" s="8">
        <v>8.0</v>
      </c>
      <c r="C40" s="20">
        <v>46034.0</v>
      </c>
      <c r="D40" s="12" t="s">
        <v>19</v>
      </c>
      <c r="E40" s="21">
        <v>50000.0</v>
      </c>
      <c r="F40" s="21">
        <f>sum(F38+E40)</f>
        <v>300000</v>
      </c>
      <c r="H40" s="8">
        <v>9.0</v>
      </c>
      <c r="I40" s="20">
        <v>46065.0</v>
      </c>
      <c r="J40" s="22" t="s">
        <v>18</v>
      </c>
      <c r="K40" s="21">
        <v>50000.0</v>
      </c>
      <c r="L40" s="21">
        <f t="shared" si="7"/>
        <v>450000</v>
      </c>
      <c r="N40" s="8">
        <v>9.0</v>
      </c>
      <c r="O40" s="20">
        <v>46093.0</v>
      </c>
      <c r="P40" s="22" t="s">
        <v>18</v>
      </c>
      <c r="Q40" s="21">
        <v>50000.0</v>
      </c>
      <c r="R40" s="21">
        <f t="shared" si="8"/>
        <v>500000</v>
      </c>
    </row>
    <row r="41">
      <c r="B41" s="8">
        <v>9.0</v>
      </c>
      <c r="C41" s="20">
        <v>46035.0</v>
      </c>
      <c r="D41" s="12" t="s">
        <v>21</v>
      </c>
      <c r="E41" s="21">
        <v>50000.0</v>
      </c>
      <c r="F41" s="21">
        <f t="shared" ref="F41:F44" si="9">sum(F40+E41)</f>
        <v>350000</v>
      </c>
      <c r="H41" s="8">
        <v>10.0</v>
      </c>
      <c r="I41" s="20">
        <v>46066.0</v>
      </c>
      <c r="J41" s="22" t="s">
        <v>20</v>
      </c>
      <c r="K41" s="21">
        <v>50000.0</v>
      </c>
      <c r="L41" s="21">
        <f t="shared" si="7"/>
        <v>500000</v>
      </c>
      <c r="N41" s="8">
        <v>10.0</v>
      </c>
      <c r="O41" s="20">
        <v>46094.0</v>
      </c>
      <c r="P41" s="22" t="s">
        <v>20</v>
      </c>
      <c r="Q41" s="21">
        <v>50000.0</v>
      </c>
      <c r="R41" s="21">
        <f t="shared" si="8"/>
        <v>550000</v>
      </c>
    </row>
    <row r="42">
      <c r="B42" s="8">
        <v>10.0</v>
      </c>
      <c r="C42" s="20">
        <v>46036.0</v>
      </c>
      <c r="D42" s="12" t="s">
        <v>22</v>
      </c>
      <c r="E42" s="21">
        <v>50000.0</v>
      </c>
      <c r="F42" s="21">
        <f t="shared" si="9"/>
        <v>400000</v>
      </c>
      <c r="H42" s="8"/>
      <c r="J42" s="12"/>
      <c r="K42" s="21"/>
      <c r="L42" s="21"/>
      <c r="N42" s="8"/>
      <c r="P42" s="12"/>
      <c r="Q42" s="21"/>
      <c r="R42" s="21"/>
    </row>
    <row r="43">
      <c r="B43" s="8">
        <v>11.0</v>
      </c>
      <c r="C43" s="20">
        <v>46037.0</v>
      </c>
      <c r="D43" s="12" t="s">
        <v>18</v>
      </c>
      <c r="E43" s="21">
        <v>50000.0</v>
      </c>
      <c r="F43" s="21">
        <f t="shared" si="9"/>
        <v>450000</v>
      </c>
      <c r="H43" s="8">
        <v>11.0</v>
      </c>
      <c r="I43" s="20">
        <v>46069.0</v>
      </c>
      <c r="J43" s="22" t="s">
        <v>19</v>
      </c>
      <c r="K43" s="21">
        <v>0.0</v>
      </c>
      <c r="L43" s="21">
        <f>sum(L41+K43)</f>
        <v>500000</v>
      </c>
      <c r="N43" s="8">
        <v>11.0</v>
      </c>
      <c r="O43" s="20">
        <v>46097.0</v>
      </c>
      <c r="P43" s="22" t="s">
        <v>19</v>
      </c>
      <c r="Q43" s="21">
        <v>0.0</v>
      </c>
      <c r="R43" s="21">
        <f>sum(R41+Q43)</f>
        <v>550000</v>
      </c>
    </row>
    <row r="44">
      <c r="B44" s="8">
        <v>12.0</v>
      </c>
      <c r="C44" s="20">
        <v>46038.0</v>
      </c>
      <c r="D44" s="12" t="s">
        <v>20</v>
      </c>
      <c r="E44" s="21">
        <v>0.0</v>
      </c>
      <c r="F44" s="21">
        <f t="shared" si="9"/>
        <v>450000</v>
      </c>
      <c r="H44" s="8">
        <v>12.0</v>
      </c>
      <c r="I44" s="20">
        <v>46070.0</v>
      </c>
      <c r="J44" s="22" t="s">
        <v>21</v>
      </c>
      <c r="K44" s="21">
        <v>0.0</v>
      </c>
      <c r="L44" s="21">
        <f t="shared" ref="L44:L47" si="10">sum(L43+K44)</f>
        <v>500000</v>
      </c>
      <c r="N44" s="8">
        <v>12.0</v>
      </c>
      <c r="O44" s="20">
        <v>46098.0</v>
      </c>
      <c r="P44" s="22" t="s">
        <v>21</v>
      </c>
      <c r="Q44" s="21">
        <v>0.0</v>
      </c>
      <c r="R44" s="21">
        <f t="shared" ref="R44:R47" si="11">sum(R43+Q44)</f>
        <v>550000</v>
      </c>
    </row>
    <row r="45">
      <c r="B45" s="12"/>
      <c r="E45" s="21"/>
      <c r="F45" s="21"/>
      <c r="H45" s="8">
        <v>13.0</v>
      </c>
      <c r="I45" s="20">
        <v>46071.0</v>
      </c>
      <c r="J45" s="22" t="s">
        <v>22</v>
      </c>
      <c r="K45" s="21">
        <v>50000.0</v>
      </c>
      <c r="L45" s="21">
        <f t="shared" si="10"/>
        <v>550000</v>
      </c>
      <c r="N45" s="8">
        <v>13.0</v>
      </c>
      <c r="O45" s="20">
        <v>46099.0</v>
      </c>
      <c r="P45" s="22" t="s">
        <v>22</v>
      </c>
      <c r="Q45" s="21">
        <v>0.0</v>
      </c>
      <c r="R45" s="21">
        <f t="shared" si="11"/>
        <v>550000</v>
      </c>
    </row>
    <row r="46">
      <c r="B46" s="8">
        <v>13.0</v>
      </c>
      <c r="C46" s="20">
        <v>46041.0</v>
      </c>
      <c r="D46" s="12" t="s">
        <v>19</v>
      </c>
      <c r="E46" s="21">
        <v>50000.0</v>
      </c>
      <c r="F46" s="21">
        <f>sum(F44+E46)</f>
        <v>500000</v>
      </c>
      <c r="H46" s="8">
        <v>14.0</v>
      </c>
      <c r="I46" s="20">
        <v>46072.0</v>
      </c>
      <c r="J46" s="22" t="s">
        <v>18</v>
      </c>
      <c r="K46" s="21">
        <v>50000.0</v>
      </c>
      <c r="L46" s="21">
        <f t="shared" si="10"/>
        <v>600000</v>
      </c>
      <c r="N46" s="8">
        <v>14.0</v>
      </c>
      <c r="O46" s="20">
        <v>46100.0</v>
      </c>
      <c r="P46" s="22" t="s">
        <v>18</v>
      </c>
      <c r="Q46" s="21">
        <v>0.0</v>
      </c>
      <c r="R46" s="21">
        <f t="shared" si="11"/>
        <v>550000</v>
      </c>
    </row>
    <row r="47">
      <c r="B47" s="8">
        <v>14.0</v>
      </c>
      <c r="C47" s="20">
        <v>46042.0</v>
      </c>
      <c r="D47" s="12" t="s">
        <v>21</v>
      </c>
      <c r="E47" s="21">
        <v>50000.0</v>
      </c>
      <c r="F47" s="21">
        <f t="shared" ref="F47:F50" si="12">sum(F46+E47)</f>
        <v>550000</v>
      </c>
      <c r="H47" s="8">
        <v>15.0</v>
      </c>
      <c r="I47" s="20">
        <v>46073.0</v>
      </c>
      <c r="J47" s="22" t="s">
        <v>20</v>
      </c>
      <c r="K47" s="21">
        <v>50000.0</v>
      </c>
      <c r="L47" s="21">
        <f t="shared" si="10"/>
        <v>650000</v>
      </c>
      <c r="N47" s="8">
        <v>15.0</v>
      </c>
      <c r="O47" s="20">
        <v>46101.0</v>
      </c>
      <c r="P47" s="22" t="s">
        <v>20</v>
      </c>
      <c r="Q47" s="21">
        <v>0.0</v>
      </c>
      <c r="R47" s="21">
        <f t="shared" si="11"/>
        <v>550000</v>
      </c>
    </row>
    <row r="48">
      <c r="B48" s="8">
        <v>15.0</v>
      </c>
      <c r="C48" s="20">
        <v>46043.0</v>
      </c>
      <c r="D48" s="12" t="s">
        <v>22</v>
      </c>
      <c r="E48" s="21">
        <v>50000.0</v>
      </c>
      <c r="F48" s="21">
        <f t="shared" si="12"/>
        <v>600000</v>
      </c>
      <c r="H48" s="8"/>
      <c r="J48" s="12"/>
      <c r="K48" s="21"/>
      <c r="L48" s="21"/>
      <c r="N48" s="8"/>
      <c r="P48" s="12"/>
      <c r="Q48" s="21"/>
      <c r="R48" s="21"/>
    </row>
    <row r="49">
      <c r="B49" s="8">
        <v>16.0</v>
      </c>
      <c r="C49" s="20">
        <v>46044.0</v>
      </c>
      <c r="D49" s="12" t="s">
        <v>18</v>
      </c>
      <c r="E49" s="21">
        <v>50000.0</v>
      </c>
      <c r="F49" s="21">
        <f t="shared" si="12"/>
        <v>650000</v>
      </c>
      <c r="H49" s="8">
        <v>16.0</v>
      </c>
      <c r="I49" s="20">
        <v>46076.0</v>
      </c>
      <c r="J49" s="22" t="s">
        <v>19</v>
      </c>
      <c r="K49" s="21">
        <v>50000.0</v>
      </c>
      <c r="L49" s="21">
        <f>sum(L47+K49)</f>
        <v>700000</v>
      </c>
      <c r="N49" s="8">
        <v>16.0</v>
      </c>
      <c r="O49" s="20">
        <v>46104.0</v>
      </c>
      <c r="P49" s="22" t="s">
        <v>19</v>
      </c>
      <c r="Q49" s="21">
        <v>0.0</v>
      </c>
      <c r="R49" s="21">
        <f>sum(R47+Q49)</f>
        <v>550000</v>
      </c>
    </row>
    <row r="50">
      <c r="B50" s="8">
        <v>17.0</v>
      </c>
      <c r="C50" s="20">
        <v>46045.0</v>
      </c>
      <c r="D50" s="12" t="s">
        <v>20</v>
      </c>
      <c r="E50" s="21">
        <v>50000.0</v>
      </c>
      <c r="F50" s="21">
        <f t="shared" si="12"/>
        <v>700000</v>
      </c>
      <c r="H50" s="8">
        <v>17.0</v>
      </c>
      <c r="I50" s="20">
        <v>46077.0</v>
      </c>
      <c r="J50" s="22" t="s">
        <v>21</v>
      </c>
      <c r="K50" s="21">
        <v>50000.0</v>
      </c>
      <c r="L50" s="21">
        <f t="shared" ref="L50:L53" si="13">sum(L49+K50)</f>
        <v>750000</v>
      </c>
      <c r="N50" s="8">
        <v>17.0</v>
      </c>
      <c r="O50" s="20">
        <v>46105.0</v>
      </c>
      <c r="P50" s="22" t="s">
        <v>21</v>
      </c>
      <c r="Q50" s="21">
        <v>0.0</v>
      </c>
      <c r="R50" s="21">
        <f t="shared" ref="R50:R53" si="14">sum(R49+Q50)</f>
        <v>550000</v>
      </c>
    </row>
    <row r="51">
      <c r="B51" s="12"/>
      <c r="E51" s="21"/>
      <c r="F51" s="21"/>
      <c r="H51" s="8">
        <v>18.0</v>
      </c>
      <c r="I51" s="20">
        <v>46078.0</v>
      </c>
      <c r="J51" s="22" t="s">
        <v>22</v>
      </c>
      <c r="K51" s="21">
        <v>50000.0</v>
      </c>
      <c r="L51" s="21">
        <f t="shared" si="13"/>
        <v>800000</v>
      </c>
      <c r="N51" s="8">
        <v>18.0</v>
      </c>
      <c r="O51" s="20">
        <v>46106.0</v>
      </c>
      <c r="P51" s="22" t="s">
        <v>22</v>
      </c>
      <c r="Q51" s="21">
        <v>0.0</v>
      </c>
      <c r="R51" s="21">
        <f t="shared" si="14"/>
        <v>550000</v>
      </c>
    </row>
    <row r="52">
      <c r="B52" s="8">
        <v>18.0</v>
      </c>
      <c r="C52" s="20">
        <v>46048.0</v>
      </c>
      <c r="D52" s="12" t="s">
        <v>19</v>
      </c>
      <c r="E52" s="21">
        <v>50000.0</v>
      </c>
      <c r="F52" s="21">
        <f>sum(F50+E52)</f>
        <v>750000</v>
      </c>
      <c r="H52" s="8">
        <v>19.0</v>
      </c>
      <c r="I52" s="20">
        <v>46079.0</v>
      </c>
      <c r="J52" s="22" t="s">
        <v>18</v>
      </c>
      <c r="K52" s="21">
        <v>50000.0</v>
      </c>
      <c r="L52" s="21">
        <f t="shared" si="13"/>
        <v>850000</v>
      </c>
      <c r="N52" s="8">
        <v>19.0</v>
      </c>
      <c r="O52" s="20">
        <v>46107.0</v>
      </c>
      <c r="P52" s="22" t="s">
        <v>18</v>
      </c>
      <c r="Q52" s="21">
        <v>0.0</v>
      </c>
      <c r="R52" s="21">
        <f t="shared" si="14"/>
        <v>550000</v>
      </c>
    </row>
    <row r="53">
      <c r="B53" s="8">
        <v>19.0</v>
      </c>
      <c r="C53" s="20">
        <v>46049.0</v>
      </c>
      <c r="D53" s="12" t="s">
        <v>21</v>
      </c>
      <c r="E53" s="21">
        <v>50000.0</v>
      </c>
      <c r="F53" s="21">
        <f t="shared" ref="F53:F56" si="15">sum(F52+E53)</f>
        <v>800000</v>
      </c>
      <c r="H53" s="8">
        <v>20.0</v>
      </c>
      <c r="I53" s="20">
        <v>46080.0</v>
      </c>
      <c r="J53" s="22" t="s">
        <v>20</v>
      </c>
      <c r="K53" s="21">
        <v>50000.0</v>
      </c>
      <c r="L53" s="21">
        <f t="shared" si="13"/>
        <v>900000</v>
      </c>
      <c r="N53" s="8">
        <v>20.0</v>
      </c>
      <c r="O53" s="20">
        <v>46108.0</v>
      </c>
      <c r="P53" s="22" t="s">
        <v>20</v>
      </c>
      <c r="Q53" s="21">
        <v>0.0</v>
      </c>
      <c r="R53" s="21">
        <f t="shared" si="14"/>
        <v>550000</v>
      </c>
    </row>
    <row r="54">
      <c r="B54" s="8">
        <v>20.0</v>
      </c>
      <c r="C54" s="20">
        <v>46050.0</v>
      </c>
      <c r="D54" s="12" t="s">
        <v>22</v>
      </c>
      <c r="E54" s="21">
        <v>50000.0</v>
      </c>
      <c r="F54" s="21">
        <f t="shared" si="15"/>
        <v>850000</v>
      </c>
      <c r="H54" s="13" t="s">
        <v>23</v>
      </c>
      <c r="K54" s="23">
        <f>L53</f>
        <v>900000</v>
      </c>
    </row>
    <row r="55">
      <c r="B55" s="8">
        <v>21.0</v>
      </c>
      <c r="C55" s="20">
        <v>46051.0</v>
      </c>
      <c r="D55" s="12" t="s">
        <v>18</v>
      </c>
      <c r="E55" s="21">
        <v>50000.0</v>
      </c>
      <c r="F55" s="21">
        <f t="shared" si="15"/>
        <v>900000</v>
      </c>
      <c r="N55" s="8">
        <v>21.0</v>
      </c>
      <c r="O55" s="20">
        <v>46111.0</v>
      </c>
      <c r="P55" s="24" t="s">
        <v>19</v>
      </c>
      <c r="Q55" s="21">
        <v>50000.0</v>
      </c>
      <c r="R55" s="25">
        <f>sum(R53+Q55)</f>
        <v>600000</v>
      </c>
    </row>
    <row r="56">
      <c r="B56" s="8">
        <v>22.0</v>
      </c>
      <c r="C56" s="20">
        <v>46052.0</v>
      </c>
      <c r="D56" s="12" t="s">
        <v>20</v>
      </c>
      <c r="E56" s="21">
        <v>50000.0</v>
      </c>
      <c r="F56" s="21">
        <f t="shared" si="15"/>
        <v>950000</v>
      </c>
      <c r="N56" s="8">
        <v>22.0</v>
      </c>
      <c r="O56" s="20">
        <v>46112.0</v>
      </c>
      <c r="P56" s="24" t="s">
        <v>21</v>
      </c>
      <c r="Q56" s="21">
        <v>50000.0</v>
      </c>
      <c r="R56" s="25">
        <f>sum(R55+Q56)</f>
        <v>650000</v>
      </c>
    </row>
    <row r="57">
      <c r="B57" s="13" t="s">
        <v>24</v>
      </c>
      <c r="E57" s="23">
        <f>F56</f>
        <v>950000</v>
      </c>
      <c r="N57" s="13" t="s">
        <v>25</v>
      </c>
      <c r="Q57" s="23">
        <f>R56</f>
        <v>650000</v>
      </c>
    </row>
    <row r="58">
      <c r="B58" s="12"/>
      <c r="E58" s="12"/>
      <c r="F58" s="12"/>
    </row>
    <row r="59">
      <c r="B59" s="12"/>
      <c r="E59" s="12"/>
      <c r="F59" s="12"/>
    </row>
    <row r="60">
      <c r="B60" s="18" t="s">
        <v>26</v>
      </c>
      <c r="H60" s="18" t="s">
        <v>27</v>
      </c>
      <c r="N60" s="18" t="s">
        <v>28</v>
      </c>
    </row>
    <row r="62">
      <c r="B62" s="26" t="s">
        <v>6</v>
      </c>
      <c r="C62" s="26" t="s">
        <v>17</v>
      </c>
      <c r="D62" s="26" t="s">
        <v>11</v>
      </c>
      <c r="E62" s="26" t="s">
        <v>9</v>
      </c>
      <c r="F62" s="26" t="s">
        <v>10</v>
      </c>
      <c r="H62" s="26" t="s">
        <v>6</v>
      </c>
      <c r="I62" s="26" t="s">
        <v>17</v>
      </c>
      <c r="J62" s="26" t="s">
        <v>11</v>
      </c>
      <c r="K62" s="26" t="s">
        <v>9</v>
      </c>
      <c r="L62" s="26" t="s">
        <v>10</v>
      </c>
      <c r="N62" s="26" t="s">
        <v>6</v>
      </c>
      <c r="O62" s="26" t="s">
        <v>17</v>
      </c>
      <c r="P62" s="26" t="s">
        <v>11</v>
      </c>
      <c r="Q62" s="26" t="s">
        <v>9</v>
      </c>
      <c r="R62" s="26" t="s">
        <v>10</v>
      </c>
    </row>
    <row r="63">
      <c r="B63" s="8">
        <v>1.0</v>
      </c>
      <c r="C63" s="20">
        <v>46113.0</v>
      </c>
      <c r="D63" s="12" t="s">
        <v>22</v>
      </c>
      <c r="E63" s="21">
        <v>50000.0</v>
      </c>
      <c r="F63" s="21">
        <f>(E63)</f>
        <v>50000</v>
      </c>
      <c r="H63" s="8">
        <v>1.0</v>
      </c>
      <c r="I63" s="20">
        <v>46143.0</v>
      </c>
      <c r="J63" s="12" t="s">
        <v>20</v>
      </c>
      <c r="K63" s="21">
        <v>0.0</v>
      </c>
      <c r="L63" s="21">
        <f>K63</f>
        <v>0</v>
      </c>
      <c r="N63" s="8">
        <v>1.0</v>
      </c>
      <c r="O63" s="20">
        <v>46174.0</v>
      </c>
      <c r="P63" s="22" t="s">
        <v>19</v>
      </c>
      <c r="Q63" s="21">
        <v>0.0</v>
      </c>
      <c r="R63" s="21">
        <f>(Q63)</f>
        <v>0</v>
      </c>
    </row>
    <row r="64">
      <c r="B64" s="8">
        <v>2.0</v>
      </c>
      <c r="C64" s="20">
        <v>46114.0</v>
      </c>
      <c r="D64" s="12" t="s">
        <v>18</v>
      </c>
      <c r="E64" s="21">
        <v>50000.0</v>
      </c>
      <c r="F64" s="21">
        <f t="shared" ref="F64:F65" si="16">sum(F63+E64)</f>
        <v>100000</v>
      </c>
      <c r="H64" s="8"/>
      <c r="I64" s="20"/>
      <c r="J64" s="12"/>
      <c r="K64" s="21"/>
      <c r="L64" s="21"/>
      <c r="N64" s="8">
        <v>2.0</v>
      </c>
      <c r="O64" s="20">
        <v>46175.0</v>
      </c>
      <c r="P64" s="22" t="s">
        <v>21</v>
      </c>
      <c r="Q64" s="21">
        <v>50000.0</v>
      </c>
      <c r="R64" s="21">
        <f t="shared" ref="R64:R67" si="17">sum(R63+Q64)</f>
        <v>50000</v>
      </c>
    </row>
    <row r="65">
      <c r="B65" s="8">
        <v>3.0</v>
      </c>
      <c r="C65" s="20">
        <v>46115.0</v>
      </c>
      <c r="D65" s="12" t="s">
        <v>20</v>
      </c>
      <c r="E65" s="21">
        <v>0.0</v>
      </c>
      <c r="F65" s="21">
        <f t="shared" si="16"/>
        <v>100000</v>
      </c>
      <c r="H65" s="8">
        <v>2.0</v>
      </c>
      <c r="I65" s="20">
        <v>46146.0</v>
      </c>
      <c r="J65" s="22" t="s">
        <v>19</v>
      </c>
      <c r="K65" s="21">
        <v>50000.0</v>
      </c>
      <c r="L65" s="21">
        <f>sum(L63+K65)</f>
        <v>50000</v>
      </c>
      <c r="N65" s="8">
        <v>3.0</v>
      </c>
      <c r="O65" s="20">
        <v>46176.0</v>
      </c>
      <c r="P65" s="22" t="s">
        <v>22</v>
      </c>
      <c r="Q65" s="21">
        <v>50000.0</v>
      </c>
      <c r="R65" s="21">
        <f t="shared" si="17"/>
        <v>100000</v>
      </c>
    </row>
    <row r="66">
      <c r="C66" s="20"/>
      <c r="E66" s="21"/>
      <c r="F66" s="21"/>
      <c r="H66" s="8">
        <v>3.0</v>
      </c>
      <c r="I66" s="20">
        <v>46147.0</v>
      </c>
      <c r="J66" s="22" t="s">
        <v>21</v>
      </c>
      <c r="K66" s="21">
        <v>50000.0</v>
      </c>
      <c r="L66" s="21">
        <f t="shared" ref="L66:L69" si="18">sum(L65+K66)</f>
        <v>100000</v>
      </c>
      <c r="N66" s="8">
        <v>4.0</v>
      </c>
      <c r="O66" s="20">
        <v>46177.0</v>
      </c>
      <c r="P66" s="22" t="s">
        <v>18</v>
      </c>
      <c r="Q66" s="21">
        <v>50000.0</v>
      </c>
      <c r="R66" s="21">
        <f t="shared" si="17"/>
        <v>150000</v>
      </c>
    </row>
    <row r="67">
      <c r="B67" s="8">
        <v>4.0</v>
      </c>
      <c r="C67" s="20">
        <v>46118.0</v>
      </c>
      <c r="D67" s="22" t="s">
        <v>19</v>
      </c>
      <c r="E67" s="21">
        <v>50000.0</v>
      </c>
      <c r="F67" s="21">
        <f>sum(F65+E67)</f>
        <v>150000</v>
      </c>
      <c r="H67" s="8">
        <v>4.0</v>
      </c>
      <c r="I67" s="20">
        <v>46148.0</v>
      </c>
      <c r="J67" s="22" t="s">
        <v>22</v>
      </c>
      <c r="K67" s="21">
        <v>50000.0</v>
      </c>
      <c r="L67" s="21">
        <f t="shared" si="18"/>
        <v>150000</v>
      </c>
      <c r="N67" s="8">
        <v>5.0</v>
      </c>
      <c r="O67" s="20">
        <v>46178.0</v>
      </c>
      <c r="P67" s="22" t="s">
        <v>20</v>
      </c>
      <c r="Q67" s="21">
        <v>50000.0</v>
      </c>
      <c r="R67" s="21">
        <f t="shared" si="17"/>
        <v>200000</v>
      </c>
    </row>
    <row r="68">
      <c r="B68" s="8">
        <v>5.0</v>
      </c>
      <c r="C68" s="20">
        <v>46119.0</v>
      </c>
      <c r="D68" s="22" t="s">
        <v>21</v>
      </c>
      <c r="E68" s="21">
        <v>50000.0</v>
      </c>
      <c r="F68" s="21">
        <f t="shared" ref="F68:F71" si="19">sum(F67+E68)</f>
        <v>200000</v>
      </c>
      <c r="H68" s="8">
        <v>5.0</v>
      </c>
      <c r="I68" s="20">
        <v>46149.0</v>
      </c>
      <c r="J68" s="22" t="s">
        <v>18</v>
      </c>
      <c r="K68" s="21">
        <v>50000.0</v>
      </c>
      <c r="L68" s="21">
        <f t="shared" si="18"/>
        <v>200000</v>
      </c>
      <c r="O68" s="20"/>
      <c r="Q68" s="21"/>
      <c r="R68" s="21"/>
    </row>
    <row r="69">
      <c r="B69" s="8">
        <v>6.0</v>
      </c>
      <c r="C69" s="20">
        <v>46120.0</v>
      </c>
      <c r="D69" s="22" t="s">
        <v>22</v>
      </c>
      <c r="E69" s="21">
        <v>50000.0</v>
      </c>
      <c r="F69" s="21">
        <f t="shared" si="19"/>
        <v>250000</v>
      </c>
      <c r="H69" s="8">
        <v>6.0</v>
      </c>
      <c r="I69" s="20">
        <v>46150.0</v>
      </c>
      <c r="J69" s="22" t="s">
        <v>20</v>
      </c>
      <c r="K69" s="21">
        <v>50000.0</v>
      </c>
      <c r="L69" s="21">
        <f t="shared" si="18"/>
        <v>250000</v>
      </c>
      <c r="N69" s="8">
        <v>6.0</v>
      </c>
      <c r="O69" s="20">
        <v>46181.0</v>
      </c>
      <c r="P69" s="22" t="s">
        <v>19</v>
      </c>
      <c r="Q69" s="21">
        <v>50000.0</v>
      </c>
      <c r="R69" s="21">
        <f>sum(R67+Q69)</f>
        <v>250000</v>
      </c>
    </row>
    <row r="70">
      <c r="B70" s="8">
        <v>7.0</v>
      </c>
      <c r="C70" s="20">
        <v>46121.0</v>
      </c>
      <c r="D70" s="22" t="s">
        <v>18</v>
      </c>
      <c r="E70" s="21">
        <v>50000.0</v>
      </c>
      <c r="F70" s="21">
        <f t="shared" si="19"/>
        <v>300000</v>
      </c>
      <c r="H70" s="8"/>
      <c r="K70" s="21"/>
      <c r="L70" s="21"/>
      <c r="N70" s="8">
        <v>7.0</v>
      </c>
      <c r="O70" s="20">
        <v>46182.0</v>
      </c>
      <c r="P70" s="22" t="s">
        <v>21</v>
      </c>
      <c r="Q70" s="21">
        <v>50000.0</v>
      </c>
      <c r="R70" s="21">
        <f t="shared" ref="R70:R73" si="20">sum(R69+Q70)</f>
        <v>300000</v>
      </c>
    </row>
    <row r="71">
      <c r="B71" s="8">
        <v>8.0</v>
      </c>
      <c r="C71" s="20">
        <v>46122.0</v>
      </c>
      <c r="D71" s="22" t="s">
        <v>20</v>
      </c>
      <c r="E71" s="21">
        <v>50000.0</v>
      </c>
      <c r="F71" s="21">
        <f t="shared" si="19"/>
        <v>350000</v>
      </c>
      <c r="H71" s="8">
        <v>7.0</v>
      </c>
      <c r="I71" s="20">
        <v>46153.0</v>
      </c>
      <c r="J71" s="22" t="s">
        <v>19</v>
      </c>
      <c r="K71" s="21">
        <v>50000.0</v>
      </c>
      <c r="L71" s="21">
        <f>sum(L69+K71)</f>
        <v>300000</v>
      </c>
      <c r="N71" s="8">
        <v>8.0</v>
      </c>
      <c r="O71" s="20">
        <v>46183.0</v>
      </c>
      <c r="P71" s="22" t="s">
        <v>22</v>
      </c>
      <c r="Q71" s="21">
        <v>50000.0</v>
      </c>
      <c r="R71" s="21">
        <f t="shared" si="20"/>
        <v>350000</v>
      </c>
    </row>
    <row r="72">
      <c r="B72" s="8"/>
      <c r="E72" s="21"/>
      <c r="F72" s="21"/>
      <c r="H72" s="8">
        <v>8.0</v>
      </c>
      <c r="I72" s="20">
        <v>46154.0</v>
      </c>
      <c r="J72" s="22" t="s">
        <v>21</v>
      </c>
      <c r="K72" s="21">
        <v>50000.0</v>
      </c>
      <c r="L72" s="21">
        <f t="shared" ref="L72:L75" si="21">sum(L71+K72)</f>
        <v>350000</v>
      </c>
      <c r="N72" s="8">
        <v>9.0</v>
      </c>
      <c r="O72" s="20">
        <v>46184.0</v>
      </c>
      <c r="P72" s="22" t="s">
        <v>18</v>
      </c>
      <c r="Q72" s="21">
        <v>50000.0</v>
      </c>
      <c r="R72" s="21">
        <f t="shared" si="20"/>
        <v>400000</v>
      </c>
    </row>
    <row r="73">
      <c r="B73" s="8">
        <v>9.0</v>
      </c>
      <c r="C73" s="20">
        <v>46125.0</v>
      </c>
      <c r="D73" s="22" t="s">
        <v>19</v>
      </c>
      <c r="E73" s="21">
        <v>50000.0</v>
      </c>
      <c r="F73" s="21">
        <f>sum(F71+E73)</f>
        <v>400000</v>
      </c>
      <c r="H73" s="8">
        <v>9.0</v>
      </c>
      <c r="I73" s="20">
        <v>46155.0</v>
      </c>
      <c r="J73" s="22" t="s">
        <v>22</v>
      </c>
      <c r="K73" s="21">
        <v>50000.0</v>
      </c>
      <c r="L73" s="21">
        <f t="shared" si="21"/>
        <v>400000</v>
      </c>
      <c r="N73" s="8">
        <v>10.0</v>
      </c>
      <c r="O73" s="20">
        <v>46185.0</v>
      </c>
      <c r="P73" s="22" t="s">
        <v>20</v>
      </c>
      <c r="Q73" s="21">
        <v>50000.0</v>
      </c>
      <c r="R73" s="21">
        <f t="shared" si="20"/>
        <v>450000</v>
      </c>
    </row>
    <row r="74">
      <c r="B74" s="8">
        <v>10.0</v>
      </c>
      <c r="C74" s="20">
        <v>46126.0</v>
      </c>
      <c r="D74" s="22" t="s">
        <v>21</v>
      </c>
      <c r="E74" s="21">
        <v>50000.0</v>
      </c>
      <c r="F74" s="21">
        <f t="shared" ref="F74:F77" si="22">sum(F73+E74)</f>
        <v>450000</v>
      </c>
      <c r="H74" s="8">
        <v>10.0</v>
      </c>
      <c r="I74" s="20">
        <v>46156.0</v>
      </c>
      <c r="J74" s="22" t="s">
        <v>18</v>
      </c>
      <c r="K74" s="21">
        <v>0.0</v>
      </c>
      <c r="L74" s="21">
        <f t="shared" si="21"/>
        <v>400000</v>
      </c>
      <c r="Q74" s="21"/>
      <c r="R74" s="21"/>
    </row>
    <row r="75">
      <c r="B75" s="8">
        <v>11.0</v>
      </c>
      <c r="C75" s="20">
        <v>46127.0</v>
      </c>
      <c r="D75" s="22" t="s">
        <v>22</v>
      </c>
      <c r="E75" s="21">
        <v>50000.0</v>
      </c>
      <c r="F75" s="21">
        <f t="shared" si="22"/>
        <v>500000</v>
      </c>
      <c r="H75" s="8">
        <v>11.0</v>
      </c>
      <c r="I75" s="20">
        <v>46157.0</v>
      </c>
      <c r="J75" s="22" t="s">
        <v>20</v>
      </c>
      <c r="K75" s="21">
        <v>0.0</v>
      </c>
      <c r="L75" s="21">
        <f t="shared" si="21"/>
        <v>400000</v>
      </c>
      <c r="N75" s="8">
        <v>11.0</v>
      </c>
      <c r="O75" s="20">
        <v>46188.0</v>
      </c>
      <c r="P75" s="22" t="s">
        <v>19</v>
      </c>
      <c r="Q75" s="21">
        <v>50000.0</v>
      </c>
      <c r="R75" s="21">
        <f>sum(R73+Q75)</f>
        <v>500000</v>
      </c>
    </row>
    <row r="76">
      <c r="B76" s="8">
        <v>12.0</v>
      </c>
      <c r="C76" s="20">
        <v>46128.0</v>
      </c>
      <c r="D76" s="22" t="s">
        <v>18</v>
      </c>
      <c r="E76" s="21">
        <v>50000.0</v>
      </c>
      <c r="F76" s="21">
        <f t="shared" si="22"/>
        <v>550000</v>
      </c>
      <c r="H76" s="8"/>
      <c r="K76" s="21"/>
      <c r="L76" s="21"/>
      <c r="N76" s="8">
        <v>12.0</v>
      </c>
      <c r="O76" s="20">
        <v>46189.0</v>
      </c>
      <c r="P76" s="22" t="s">
        <v>21</v>
      </c>
      <c r="Q76" s="21">
        <v>0.0</v>
      </c>
      <c r="R76" s="21">
        <f t="shared" ref="R76:R79" si="23">sum(R75+Q76)</f>
        <v>500000</v>
      </c>
    </row>
    <row r="77">
      <c r="B77" s="8">
        <v>13.0</v>
      </c>
      <c r="C77" s="20">
        <v>46129.0</v>
      </c>
      <c r="D77" s="22" t="s">
        <v>20</v>
      </c>
      <c r="E77" s="21">
        <v>50000.0</v>
      </c>
      <c r="F77" s="21">
        <f t="shared" si="22"/>
        <v>600000</v>
      </c>
      <c r="H77" s="8">
        <v>12.0</v>
      </c>
      <c r="I77" s="20">
        <v>46160.0</v>
      </c>
      <c r="J77" s="22" t="s">
        <v>19</v>
      </c>
      <c r="K77" s="21">
        <v>50000.0</v>
      </c>
      <c r="L77" s="21">
        <f>sum(L75+K77)</f>
        <v>450000</v>
      </c>
      <c r="N77" s="8">
        <v>13.0</v>
      </c>
      <c r="O77" s="20">
        <v>46190.0</v>
      </c>
      <c r="P77" s="22" t="s">
        <v>22</v>
      </c>
      <c r="Q77" s="21">
        <v>50000.0</v>
      </c>
      <c r="R77" s="21">
        <f t="shared" si="23"/>
        <v>550000</v>
      </c>
    </row>
    <row r="78">
      <c r="B78" s="8"/>
      <c r="E78" s="21"/>
      <c r="F78" s="21"/>
      <c r="H78" s="8">
        <v>13.0</v>
      </c>
      <c r="I78" s="20">
        <v>46161.0</v>
      </c>
      <c r="J78" s="22" t="s">
        <v>21</v>
      </c>
      <c r="K78" s="21">
        <v>50000.0</v>
      </c>
      <c r="L78" s="21">
        <f t="shared" ref="L78:L81" si="24">sum(L77+K78)</f>
        <v>500000</v>
      </c>
      <c r="N78" s="8">
        <v>14.0</v>
      </c>
      <c r="O78" s="20">
        <v>46191.0</v>
      </c>
      <c r="P78" s="22" t="s">
        <v>18</v>
      </c>
      <c r="Q78" s="21">
        <v>50000.0</v>
      </c>
      <c r="R78" s="21">
        <f t="shared" si="23"/>
        <v>600000</v>
      </c>
    </row>
    <row r="79">
      <c r="B79" s="8">
        <v>14.0</v>
      </c>
      <c r="C79" s="20">
        <v>46132.0</v>
      </c>
      <c r="D79" s="22" t="s">
        <v>19</v>
      </c>
      <c r="E79" s="21">
        <v>50000.0</v>
      </c>
      <c r="F79" s="21">
        <f>sum(F77+E79)</f>
        <v>650000</v>
      </c>
      <c r="H79" s="8">
        <v>14.0</v>
      </c>
      <c r="I79" s="20">
        <v>46162.0</v>
      </c>
      <c r="J79" s="22" t="s">
        <v>22</v>
      </c>
      <c r="K79" s="21">
        <v>50000.0</v>
      </c>
      <c r="L79" s="21">
        <f t="shared" si="24"/>
        <v>550000</v>
      </c>
      <c r="N79" s="8">
        <v>15.0</v>
      </c>
      <c r="O79" s="20">
        <v>46192.0</v>
      </c>
      <c r="P79" s="22" t="s">
        <v>20</v>
      </c>
      <c r="Q79" s="21">
        <v>50000.0</v>
      </c>
      <c r="R79" s="21">
        <f t="shared" si="23"/>
        <v>650000</v>
      </c>
    </row>
    <row r="80">
      <c r="B80" s="8">
        <v>15.0</v>
      </c>
      <c r="C80" s="20">
        <v>46133.0</v>
      </c>
      <c r="D80" s="22" t="s">
        <v>21</v>
      </c>
      <c r="E80" s="21">
        <v>50000.0</v>
      </c>
      <c r="F80" s="21">
        <f t="shared" ref="F80:F83" si="25">sum(F79+E80)</f>
        <v>700000</v>
      </c>
      <c r="H80" s="8">
        <v>15.0</v>
      </c>
      <c r="I80" s="20">
        <v>46163.0</v>
      </c>
      <c r="J80" s="22" t="s">
        <v>18</v>
      </c>
      <c r="K80" s="21">
        <v>50000.0</v>
      </c>
      <c r="L80" s="21">
        <f t="shared" si="24"/>
        <v>600000</v>
      </c>
      <c r="Q80" s="21"/>
      <c r="R80" s="21"/>
    </row>
    <row r="81">
      <c r="B81" s="8">
        <v>16.0</v>
      </c>
      <c r="C81" s="20">
        <v>46134.0</v>
      </c>
      <c r="D81" s="22" t="s">
        <v>22</v>
      </c>
      <c r="E81" s="21">
        <v>50000.0</v>
      </c>
      <c r="F81" s="21">
        <f t="shared" si="25"/>
        <v>750000</v>
      </c>
      <c r="H81" s="8">
        <v>16.0</v>
      </c>
      <c r="I81" s="20">
        <v>46164.0</v>
      </c>
      <c r="J81" s="22" t="s">
        <v>20</v>
      </c>
      <c r="K81" s="21">
        <v>50000.0</v>
      </c>
      <c r="L81" s="21">
        <f t="shared" si="24"/>
        <v>650000</v>
      </c>
      <c r="N81" s="8">
        <v>16.0</v>
      </c>
      <c r="O81" s="20">
        <v>46195.0</v>
      </c>
      <c r="P81" s="22" t="s">
        <v>19</v>
      </c>
      <c r="Q81" s="21">
        <v>50000.0</v>
      </c>
      <c r="R81" s="21">
        <f>sum(R79+Q81)</f>
        <v>700000</v>
      </c>
    </row>
    <row r="82">
      <c r="B82" s="8">
        <v>17.0</v>
      </c>
      <c r="C82" s="20">
        <v>46135.0</v>
      </c>
      <c r="D82" s="22" t="s">
        <v>18</v>
      </c>
      <c r="E82" s="21">
        <v>50000.0</v>
      </c>
      <c r="F82" s="21">
        <f t="shared" si="25"/>
        <v>800000</v>
      </c>
      <c r="H82" s="8"/>
      <c r="K82" s="21"/>
      <c r="L82" s="21"/>
      <c r="N82" s="8">
        <v>17.0</v>
      </c>
      <c r="O82" s="20">
        <v>46196.0</v>
      </c>
      <c r="P82" s="22" t="s">
        <v>21</v>
      </c>
      <c r="Q82" s="21">
        <v>50000.0</v>
      </c>
      <c r="R82" s="21">
        <f t="shared" ref="R82:R85" si="26">sum(R81+Q82)</f>
        <v>750000</v>
      </c>
    </row>
    <row r="83">
      <c r="B83" s="8">
        <v>18.0</v>
      </c>
      <c r="C83" s="20">
        <v>46136.0</v>
      </c>
      <c r="D83" s="22" t="s">
        <v>20</v>
      </c>
      <c r="E83" s="21">
        <v>50000.0</v>
      </c>
      <c r="F83" s="21">
        <f t="shared" si="25"/>
        <v>850000</v>
      </c>
      <c r="H83" s="8">
        <v>17.0</v>
      </c>
      <c r="I83" s="20">
        <v>46167.0</v>
      </c>
      <c r="J83" s="22" t="s">
        <v>19</v>
      </c>
      <c r="K83" s="21">
        <v>50000.0</v>
      </c>
      <c r="L83" s="21">
        <f>sum(L81+K83)</f>
        <v>700000</v>
      </c>
      <c r="N83" s="8">
        <v>18.0</v>
      </c>
      <c r="O83" s="20">
        <v>46197.0</v>
      </c>
      <c r="P83" s="22" t="s">
        <v>22</v>
      </c>
      <c r="Q83" s="21">
        <v>50000.0</v>
      </c>
      <c r="R83" s="21">
        <f t="shared" si="26"/>
        <v>800000</v>
      </c>
    </row>
    <row r="84">
      <c r="B84" s="8"/>
      <c r="D84" s="22"/>
      <c r="E84" s="21"/>
      <c r="F84" s="21"/>
      <c r="H84" s="8">
        <v>18.0</v>
      </c>
      <c r="I84" s="20">
        <v>46168.0</v>
      </c>
      <c r="J84" s="22" t="s">
        <v>21</v>
      </c>
      <c r="K84" s="21">
        <v>50000.0</v>
      </c>
      <c r="L84" s="21">
        <f t="shared" ref="L84:L87" si="27">sum(L83+K84)</f>
        <v>750000</v>
      </c>
      <c r="N84" s="8">
        <v>19.0</v>
      </c>
      <c r="O84" s="20">
        <v>46198.0</v>
      </c>
      <c r="P84" s="22" t="s">
        <v>18</v>
      </c>
      <c r="Q84" s="21">
        <v>50000.0</v>
      </c>
      <c r="R84" s="21">
        <f t="shared" si="26"/>
        <v>850000</v>
      </c>
    </row>
    <row r="85">
      <c r="B85" s="8">
        <v>19.0</v>
      </c>
      <c r="C85" s="20">
        <v>46139.0</v>
      </c>
      <c r="D85" s="22" t="s">
        <v>19</v>
      </c>
      <c r="E85" s="21">
        <v>50000.0</v>
      </c>
      <c r="F85" s="21">
        <f>sum(F83+E85)</f>
        <v>900000</v>
      </c>
      <c r="H85" s="8">
        <v>19.0</v>
      </c>
      <c r="I85" s="20">
        <v>46169.0</v>
      </c>
      <c r="J85" s="22" t="s">
        <v>22</v>
      </c>
      <c r="K85" s="21">
        <v>0.0</v>
      </c>
      <c r="L85" s="21">
        <f t="shared" si="27"/>
        <v>750000</v>
      </c>
      <c r="N85" s="8">
        <v>20.0</v>
      </c>
      <c r="O85" s="20">
        <v>46199.0</v>
      </c>
      <c r="P85" s="22" t="s">
        <v>20</v>
      </c>
      <c r="Q85" s="21">
        <v>50000.0</v>
      </c>
      <c r="R85" s="21">
        <f t="shared" si="26"/>
        <v>900000</v>
      </c>
    </row>
    <row r="86">
      <c r="B86" s="8">
        <v>20.0</v>
      </c>
      <c r="C86" s="20">
        <v>46140.0</v>
      </c>
      <c r="D86" s="22" t="s">
        <v>21</v>
      </c>
      <c r="E86" s="21">
        <v>50000.0</v>
      </c>
      <c r="F86" s="21">
        <f t="shared" ref="F86:F88" si="28">sum(F85+E86)</f>
        <v>950000</v>
      </c>
      <c r="H86" s="8">
        <v>20.0</v>
      </c>
      <c r="I86" s="20">
        <v>46170.0</v>
      </c>
      <c r="J86" s="22" t="s">
        <v>18</v>
      </c>
      <c r="K86" s="21">
        <v>0.0</v>
      </c>
      <c r="L86" s="21">
        <f t="shared" si="27"/>
        <v>750000</v>
      </c>
      <c r="N86" s="8"/>
      <c r="Q86" s="21"/>
      <c r="R86" s="21"/>
    </row>
    <row r="87">
      <c r="B87" s="8">
        <v>21.0</v>
      </c>
      <c r="C87" s="20">
        <v>46141.0</v>
      </c>
      <c r="D87" s="22" t="s">
        <v>22</v>
      </c>
      <c r="E87" s="21">
        <v>50000.0</v>
      </c>
      <c r="F87" s="21">
        <f t="shared" si="28"/>
        <v>1000000</v>
      </c>
      <c r="H87" s="8">
        <v>21.0</v>
      </c>
      <c r="I87" s="20">
        <v>46171.0</v>
      </c>
      <c r="J87" s="22" t="s">
        <v>20</v>
      </c>
      <c r="K87" s="21">
        <v>0.0</v>
      </c>
      <c r="L87" s="21">
        <f t="shared" si="27"/>
        <v>750000</v>
      </c>
      <c r="N87" s="8">
        <v>21.0</v>
      </c>
      <c r="O87" s="20">
        <v>46202.0</v>
      </c>
      <c r="P87" s="22" t="s">
        <v>19</v>
      </c>
      <c r="Q87" s="21">
        <v>50000.0</v>
      </c>
      <c r="R87" s="21">
        <f>sum(R85+Q87)</f>
        <v>950000</v>
      </c>
    </row>
    <row r="88">
      <c r="B88" s="8">
        <v>22.0</v>
      </c>
      <c r="C88" s="20">
        <v>46142.0</v>
      </c>
      <c r="D88" s="22" t="s">
        <v>18</v>
      </c>
      <c r="E88" s="21">
        <v>50000.0</v>
      </c>
      <c r="F88" s="21">
        <f t="shared" si="28"/>
        <v>1050000</v>
      </c>
      <c r="H88" s="13" t="s">
        <v>29</v>
      </c>
      <c r="K88" s="23">
        <f>L87</f>
        <v>750000</v>
      </c>
      <c r="N88" s="8">
        <v>22.0</v>
      </c>
      <c r="O88" s="20">
        <v>46203.0</v>
      </c>
      <c r="P88" s="22" t="s">
        <v>21</v>
      </c>
      <c r="Q88" s="21">
        <v>50000.0</v>
      </c>
      <c r="R88" s="21">
        <f>sum(R87+Q88)</f>
        <v>1000000</v>
      </c>
    </row>
    <row r="89">
      <c r="B89" s="13" t="s">
        <v>30</v>
      </c>
      <c r="E89" s="23">
        <f>F88</f>
        <v>1050000</v>
      </c>
      <c r="N89" s="13" t="s">
        <v>31</v>
      </c>
      <c r="Q89" s="23">
        <f>R88</f>
        <v>1000000</v>
      </c>
    </row>
    <row r="90">
      <c r="O90" s="20"/>
    </row>
    <row r="92">
      <c r="B92" s="18" t="s">
        <v>32</v>
      </c>
      <c r="H92" s="18" t="s">
        <v>33</v>
      </c>
      <c r="N92" s="18" t="s">
        <v>34</v>
      </c>
    </row>
    <row r="94">
      <c r="B94" s="27" t="s">
        <v>6</v>
      </c>
      <c r="C94" s="27" t="s">
        <v>17</v>
      </c>
      <c r="D94" s="27" t="s">
        <v>11</v>
      </c>
      <c r="E94" s="27" t="s">
        <v>9</v>
      </c>
      <c r="F94" s="27" t="s">
        <v>10</v>
      </c>
      <c r="H94" s="26" t="s">
        <v>6</v>
      </c>
      <c r="I94" s="26" t="s">
        <v>17</v>
      </c>
      <c r="J94" s="26" t="s">
        <v>11</v>
      </c>
      <c r="K94" s="26" t="s">
        <v>9</v>
      </c>
      <c r="L94" s="26" t="s">
        <v>10</v>
      </c>
      <c r="N94" s="26" t="s">
        <v>6</v>
      </c>
      <c r="O94" s="26" t="s">
        <v>17</v>
      </c>
      <c r="P94" s="26" t="s">
        <v>11</v>
      </c>
      <c r="Q94" s="26" t="s">
        <v>9</v>
      </c>
      <c r="R94" s="26" t="s">
        <v>10</v>
      </c>
    </row>
    <row r="95">
      <c r="B95" s="8">
        <v>1.0</v>
      </c>
      <c r="C95" s="20">
        <v>46204.0</v>
      </c>
      <c r="D95" s="12" t="s">
        <v>22</v>
      </c>
      <c r="E95" s="21">
        <v>50000.0</v>
      </c>
      <c r="F95" s="21">
        <f>(E95)</f>
        <v>50000</v>
      </c>
      <c r="H95" s="8">
        <v>1.0</v>
      </c>
      <c r="I95" s="20">
        <v>46237.0</v>
      </c>
      <c r="J95" s="22" t="s">
        <v>19</v>
      </c>
      <c r="K95" s="21">
        <v>50000.0</v>
      </c>
      <c r="L95" s="21">
        <f>(K95)</f>
        <v>50000</v>
      </c>
      <c r="N95" s="8">
        <v>1.0</v>
      </c>
      <c r="O95" s="20">
        <v>46266.0</v>
      </c>
      <c r="P95" s="24" t="s">
        <v>21</v>
      </c>
      <c r="Q95" s="21">
        <v>0.0</v>
      </c>
      <c r="R95" s="21">
        <f>(Q95)</f>
        <v>0</v>
      </c>
    </row>
    <row r="96">
      <c r="B96" s="8">
        <v>2.0</v>
      </c>
      <c r="C96" s="20">
        <v>46205.0</v>
      </c>
      <c r="D96" s="12" t="s">
        <v>18</v>
      </c>
      <c r="E96" s="21">
        <v>50000.0</v>
      </c>
      <c r="F96" s="21">
        <f t="shared" ref="F96:F97" si="29">sum(F95+E96)</f>
        <v>100000</v>
      </c>
      <c r="H96" s="8">
        <v>2.0</v>
      </c>
      <c r="I96" s="20">
        <v>46238.0</v>
      </c>
      <c r="J96" s="22" t="s">
        <v>21</v>
      </c>
      <c r="K96" s="21">
        <v>50000.0</v>
      </c>
      <c r="L96" s="21">
        <f t="shared" ref="L96:L99" si="30">sum(L95+K96)</f>
        <v>100000</v>
      </c>
      <c r="N96" s="8">
        <v>2.0</v>
      </c>
      <c r="O96" s="20">
        <v>46267.0</v>
      </c>
      <c r="P96" s="24" t="s">
        <v>22</v>
      </c>
      <c r="Q96" s="21">
        <v>0.0</v>
      </c>
      <c r="R96" s="21">
        <f t="shared" ref="R96:R98" si="31">sum(R95+Q96)</f>
        <v>0</v>
      </c>
    </row>
    <row r="97">
      <c r="B97" s="8">
        <v>3.0</v>
      </c>
      <c r="C97" s="20">
        <v>46206.0</v>
      </c>
      <c r="D97" s="12" t="s">
        <v>20</v>
      </c>
      <c r="E97" s="21">
        <v>50000.0</v>
      </c>
      <c r="F97" s="21">
        <f t="shared" si="29"/>
        <v>150000</v>
      </c>
      <c r="H97" s="8">
        <v>3.0</v>
      </c>
      <c r="I97" s="20">
        <v>46239.0</v>
      </c>
      <c r="J97" s="22" t="s">
        <v>22</v>
      </c>
      <c r="K97" s="21">
        <v>50000.0</v>
      </c>
      <c r="L97" s="21">
        <f t="shared" si="30"/>
        <v>150000</v>
      </c>
      <c r="N97" s="8">
        <v>3.0</v>
      </c>
      <c r="O97" s="20">
        <v>46268.0</v>
      </c>
      <c r="P97" s="24" t="s">
        <v>18</v>
      </c>
      <c r="Q97" s="21">
        <v>0.0</v>
      </c>
      <c r="R97" s="21">
        <f t="shared" si="31"/>
        <v>0</v>
      </c>
    </row>
    <row r="98">
      <c r="C98" s="20"/>
      <c r="E98" s="21"/>
      <c r="F98" s="21"/>
      <c r="H98" s="8">
        <v>4.0</v>
      </c>
      <c r="I98" s="20">
        <v>46240.0</v>
      </c>
      <c r="J98" s="22" t="s">
        <v>18</v>
      </c>
      <c r="K98" s="21">
        <v>50000.0</v>
      </c>
      <c r="L98" s="21">
        <f t="shared" si="30"/>
        <v>200000</v>
      </c>
      <c r="N98" s="8">
        <v>4.0</v>
      </c>
      <c r="O98" s="20">
        <v>46269.0</v>
      </c>
      <c r="P98" s="24" t="s">
        <v>20</v>
      </c>
      <c r="Q98" s="21">
        <v>0.0</v>
      </c>
      <c r="R98" s="21">
        <f t="shared" si="31"/>
        <v>0</v>
      </c>
    </row>
    <row r="99">
      <c r="B99" s="8">
        <v>4.0</v>
      </c>
      <c r="C99" s="20">
        <v>46209.0</v>
      </c>
      <c r="D99" s="22" t="s">
        <v>19</v>
      </c>
      <c r="E99" s="21">
        <v>50000.0</v>
      </c>
      <c r="F99" s="21">
        <f>sum(F97+E99)</f>
        <v>200000</v>
      </c>
      <c r="H99" s="8">
        <v>5.0</v>
      </c>
      <c r="I99" s="20">
        <v>46241.0</v>
      </c>
      <c r="J99" s="22" t="s">
        <v>20</v>
      </c>
      <c r="K99" s="21">
        <v>50000.0</v>
      </c>
      <c r="L99" s="21">
        <f t="shared" si="30"/>
        <v>250000</v>
      </c>
      <c r="N99" s="8"/>
      <c r="O99" s="20"/>
      <c r="P99" s="12"/>
      <c r="Q99" s="21"/>
      <c r="R99" s="21"/>
    </row>
    <row r="100">
      <c r="B100" s="8">
        <v>5.0</v>
      </c>
      <c r="C100" s="20">
        <v>46210.0</v>
      </c>
      <c r="D100" s="22" t="s">
        <v>21</v>
      </c>
      <c r="E100" s="21">
        <v>50000.0</v>
      </c>
      <c r="F100" s="21">
        <f t="shared" ref="F100:F103" si="32">sum(F99+E100)</f>
        <v>250000</v>
      </c>
      <c r="H100" s="8"/>
      <c r="K100" s="21"/>
      <c r="L100" s="21"/>
      <c r="N100" s="8">
        <v>5.0</v>
      </c>
      <c r="O100" s="20">
        <v>46272.0</v>
      </c>
      <c r="P100" s="24" t="s">
        <v>19</v>
      </c>
      <c r="Q100" s="21">
        <v>0.0</v>
      </c>
      <c r="R100" s="21">
        <f>sum(R98+Q100)</f>
        <v>0</v>
      </c>
    </row>
    <row r="101">
      <c r="B101" s="8">
        <v>6.0</v>
      </c>
      <c r="C101" s="20">
        <v>46211.0</v>
      </c>
      <c r="D101" s="22" t="s">
        <v>22</v>
      </c>
      <c r="E101" s="21">
        <v>50000.0</v>
      </c>
      <c r="F101" s="21">
        <f t="shared" si="32"/>
        <v>300000</v>
      </c>
      <c r="H101" s="8">
        <v>6.0</v>
      </c>
      <c r="I101" s="20">
        <v>46244.0</v>
      </c>
      <c r="J101" s="22" t="s">
        <v>19</v>
      </c>
      <c r="K101" s="21">
        <v>50000.0</v>
      </c>
      <c r="L101" s="21">
        <f>sum(L99+K101)</f>
        <v>300000</v>
      </c>
      <c r="N101" s="8">
        <v>6.0</v>
      </c>
      <c r="O101" s="20">
        <v>46273.0</v>
      </c>
      <c r="P101" s="24" t="s">
        <v>21</v>
      </c>
      <c r="Q101" s="21">
        <v>0.0</v>
      </c>
      <c r="R101" s="21">
        <f t="shared" ref="R101:R104" si="33">sum(R100+Q101)</f>
        <v>0</v>
      </c>
    </row>
    <row r="102">
      <c r="B102" s="8">
        <v>7.0</v>
      </c>
      <c r="C102" s="20">
        <v>46212.0</v>
      </c>
      <c r="D102" s="22" t="s">
        <v>18</v>
      </c>
      <c r="E102" s="21">
        <v>50000.0</v>
      </c>
      <c r="F102" s="21">
        <f t="shared" si="32"/>
        <v>350000</v>
      </c>
      <c r="H102" s="8">
        <v>7.0</v>
      </c>
      <c r="I102" s="20">
        <v>46245.0</v>
      </c>
      <c r="J102" s="22" t="s">
        <v>21</v>
      </c>
      <c r="K102" s="21">
        <v>50000.0</v>
      </c>
      <c r="L102" s="21">
        <f t="shared" ref="L102:L105" si="34">sum(L101+K102)</f>
        <v>350000</v>
      </c>
      <c r="N102" s="8">
        <v>7.0</v>
      </c>
      <c r="O102" s="20">
        <v>46274.0</v>
      </c>
      <c r="P102" s="24" t="s">
        <v>22</v>
      </c>
      <c r="Q102" s="21">
        <v>0.0</v>
      </c>
      <c r="R102" s="21">
        <f t="shared" si="33"/>
        <v>0</v>
      </c>
    </row>
    <row r="103">
      <c r="B103" s="8">
        <v>8.0</v>
      </c>
      <c r="C103" s="20">
        <v>46213.0</v>
      </c>
      <c r="D103" s="22" t="s">
        <v>20</v>
      </c>
      <c r="E103" s="21">
        <v>50000.0</v>
      </c>
      <c r="F103" s="21">
        <f t="shared" si="32"/>
        <v>400000</v>
      </c>
      <c r="H103" s="8">
        <v>8.0</v>
      </c>
      <c r="I103" s="20">
        <v>46246.0</v>
      </c>
      <c r="J103" s="22" t="s">
        <v>22</v>
      </c>
      <c r="K103" s="21">
        <v>50000.0</v>
      </c>
      <c r="L103" s="21">
        <f t="shared" si="34"/>
        <v>400000</v>
      </c>
      <c r="N103" s="8">
        <v>8.0</v>
      </c>
      <c r="O103" s="20">
        <v>46275.0</v>
      </c>
      <c r="P103" s="24" t="s">
        <v>18</v>
      </c>
      <c r="Q103" s="21">
        <v>0.0</v>
      </c>
      <c r="R103" s="21">
        <f t="shared" si="33"/>
        <v>0</v>
      </c>
    </row>
    <row r="104">
      <c r="B104" s="8"/>
      <c r="E104" s="21"/>
      <c r="F104" s="21"/>
      <c r="H104" s="8">
        <v>9.0</v>
      </c>
      <c r="I104" s="20">
        <v>46247.0</v>
      </c>
      <c r="J104" s="22" t="s">
        <v>18</v>
      </c>
      <c r="K104" s="21">
        <v>50000.0</v>
      </c>
      <c r="L104" s="21">
        <f t="shared" si="34"/>
        <v>450000</v>
      </c>
      <c r="N104" s="8">
        <v>9.0</v>
      </c>
      <c r="O104" s="20">
        <v>46276.0</v>
      </c>
      <c r="P104" s="24" t="s">
        <v>20</v>
      </c>
      <c r="Q104" s="21">
        <v>0.0</v>
      </c>
      <c r="R104" s="21">
        <f t="shared" si="33"/>
        <v>0</v>
      </c>
    </row>
    <row r="105">
      <c r="B105" s="8">
        <v>9.0</v>
      </c>
      <c r="C105" s="20">
        <v>46216.0</v>
      </c>
      <c r="D105" s="22" t="s">
        <v>19</v>
      </c>
      <c r="E105" s="21">
        <v>50000.0</v>
      </c>
      <c r="F105" s="21">
        <f>sum(F103+E105)</f>
        <v>450000</v>
      </c>
      <c r="H105" s="8">
        <v>10.0</v>
      </c>
      <c r="I105" s="20">
        <v>46248.0</v>
      </c>
      <c r="J105" s="22" t="s">
        <v>20</v>
      </c>
      <c r="K105" s="21">
        <v>50000.0</v>
      </c>
      <c r="L105" s="21">
        <f t="shared" si="34"/>
        <v>500000</v>
      </c>
      <c r="N105" s="12"/>
      <c r="O105" s="12"/>
      <c r="P105" s="12"/>
      <c r="Q105" s="21"/>
      <c r="R105" s="21"/>
    </row>
    <row r="106">
      <c r="B106" s="8">
        <v>10.0</v>
      </c>
      <c r="C106" s="20">
        <v>46217.0</v>
      </c>
      <c r="D106" s="22" t="s">
        <v>21</v>
      </c>
      <c r="E106" s="21">
        <v>50000.0</v>
      </c>
      <c r="F106" s="21">
        <f t="shared" ref="F106:F109" si="35">sum(F105+E106)</f>
        <v>500000</v>
      </c>
      <c r="K106" s="21"/>
      <c r="L106" s="21"/>
      <c r="N106" s="8">
        <v>10.0</v>
      </c>
      <c r="O106" s="20">
        <v>46279.0</v>
      </c>
      <c r="P106" s="24" t="s">
        <v>19</v>
      </c>
      <c r="Q106" s="21">
        <v>0.0</v>
      </c>
      <c r="R106" s="21">
        <f>sum(R104+Q106)</f>
        <v>0</v>
      </c>
    </row>
    <row r="107">
      <c r="B107" s="8">
        <v>11.0</v>
      </c>
      <c r="C107" s="20">
        <v>46218.0</v>
      </c>
      <c r="D107" s="22" t="s">
        <v>22</v>
      </c>
      <c r="E107" s="21">
        <v>50000.0</v>
      </c>
      <c r="F107" s="21">
        <f t="shared" si="35"/>
        <v>550000</v>
      </c>
      <c r="H107" s="8">
        <v>11.0</v>
      </c>
      <c r="I107" s="20">
        <v>46251.0</v>
      </c>
      <c r="J107" s="22" t="s">
        <v>19</v>
      </c>
      <c r="K107" s="21">
        <v>0.0</v>
      </c>
      <c r="L107" s="21">
        <f>sum(L105+K107)</f>
        <v>500000</v>
      </c>
      <c r="N107" s="8">
        <v>11.0</v>
      </c>
      <c r="O107" s="20">
        <v>46280.0</v>
      </c>
      <c r="P107" s="24" t="s">
        <v>21</v>
      </c>
      <c r="Q107" s="21">
        <v>0.0</v>
      </c>
      <c r="R107" s="21">
        <f t="shared" ref="R107:R110" si="36">sum(R106+Q107)</f>
        <v>0</v>
      </c>
    </row>
    <row r="108">
      <c r="B108" s="8">
        <v>12.0</v>
      </c>
      <c r="C108" s="20">
        <v>46219.0</v>
      </c>
      <c r="D108" s="22" t="s">
        <v>18</v>
      </c>
      <c r="E108" s="21">
        <v>50000.0</v>
      </c>
      <c r="F108" s="21">
        <f t="shared" si="35"/>
        <v>600000</v>
      </c>
      <c r="H108" s="8">
        <v>12.0</v>
      </c>
      <c r="I108" s="20">
        <v>46252.0</v>
      </c>
      <c r="J108" s="22" t="s">
        <v>21</v>
      </c>
      <c r="K108" s="21">
        <v>50000.0</v>
      </c>
      <c r="L108" s="21">
        <f t="shared" ref="L108:L111" si="37">sum(L107+K108)</f>
        <v>550000</v>
      </c>
      <c r="N108" s="8">
        <v>12.0</v>
      </c>
      <c r="O108" s="20">
        <v>46281.0</v>
      </c>
      <c r="P108" s="24" t="s">
        <v>22</v>
      </c>
      <c r="Q108" s="21">
        <v>0.0</v>
      </c>
      <c r="R108" s="21">
        <f t="shared" si="36"/>
        <v>0</v>
      </c>
    </row>
    <row r="109">
      <c r="B109" s="8">
        <v>13.0</v>
      </c>
      <c r="C109" s="20">
        <v>46220.0</v>
      </c>
      <c r="D109" s="22" t="s">
        <v>20</v>
      </c>
      <c r="E109" s="21">
        <v>50000.0</v>
      </c>
      <c r="F109" s="21">
        <f t="shared" si="35"/>
        <v>650000</v>
      </c>
      <c r="H109" s="8">
        <v>13.0</v>
      </c>
      <c r="I109" s="20">
        <v>46253.0</v>
      </c>
      <c r="J109" s="22" t="s">
        <v>22</v>
      </c>
      <c r="K109" s="21">
        <v>50000.0</v>
      </c>
      <c r="L109" s="21">
        <f t="shared" si="37"/>
        <v>600000</v>
      </c>
      <c r="N109" s="8">
        <v>13.0</v>
      </c>
      <c r="O109" s="20">
        <v>46282.0</v>
      </c>
      <c r="P109" s="24" t="s">
        <v>18</v>
      </c>
      <c r="Q109" s="21">
        <v>0.0</v>
      </c>
      <c r="R109" s="21">
        <f t="shared" si="36"/>
        <v>0</v>
      </c>
    </row>
    <row r="110">
      <c r="B110" s="8"/>
      <c r="E110" s="21"/>
      <c r="F110" s="21"/>
      <c r="H110" s="8">
        <v>14.0</v>
      </c>
      <c r="I110" s="20">
        <v>46254.0</v>
      </c>
      <c r="J110" s="22" t="s">
        <v>18</v>
      </c>
      <c r="K110" s="21">
        <v>0.0</v>
      </c>
      <c r="L110" s="21">
        <f t="shared" si="37"/>
        <v>600000</v>
      </c>
      <c r="N110" s="8">
        <v>14.0</v>
      </c>
      <c r="O110" s="20">
        <v>46283.0</v>
      </c>
      <c r="P110" s="24" t="s">
        <v>20</v>
      </c>
      <c r="Q110" s="21">
        <v>0.0</v>
      </c>
      <c r="R110" s="21">
        <f t="shared" si="36"/>
        <v>0</v>
      </c>
    </row>
    <row r="111">
      <c r="B111" s="8">
        <v>14.0</v>
      </c>
      <c r="C111" s="20">
        <v>46223.0</v>
      </c>
      <c r="D111" s="22" t="s">
        <v>19</v>
      </c>
      <c r="E111" s="21">
        <v>50000.0</v>
      </c>
      <c r="F111" s="21">
        <f>sum(F109+E111)</f>
        <v>700000</v>
      </c>
      <c r="H111" s="8">
        <v>15.0</v>
      </c>
      <c r="I111" s="20">
        <v>46255.0</v>
      </c>
      <c r="J111" s="22" t="s">
        <v>20</v>
      </c>
      <c r="K111" s="21">
        <v>0.0</v>
      </c>
      <c r="L111" s="21">
        <f t="shared" si="37"/>
        <v>600000</v>
      </c>
      <c r="N111" s="12"/>
      <c r="O111" s="12"/>
      <c r="P111" s="12"/>
      <c r="Q111" s="21"/>
      <c r="R111" s="21"/>
    </row>
    <row r="112">
      <c r="B112" s="8">
        <v>15.0</v>
      </c>
      <c r="C112" s="20">
        <v>46224.0</v>
      </c>
      <c r="D112" s="22" t="s">
        <v>21</v>
      </c>
      <c r="E112" s="21">
        <v>50000.0</v>
      </c>
      <c r="F112" s="21">
        <f t="shared" ref="F112:F115" si="38">sum(F111+E112)</f>
        <v>750000</v>
      </c>
      <c r="K112" s="21"/>
      <c r="L112" s="21"/>
      <c r="N112" s="8">
        <v>15.0</v>
      </c>
      <c r="O112" s="20">
        <v>46286.0</v>
      </c>
      <c r="P112" s="24" t="s">
        <v>19</v>
      </c>
      <c r="Q112" s="21">
        <v>0.0</v>
      </c>
      <c r="R112" s="21">
        <f>sum(R110+Q112)</f>
        <v>0</v>
      </c>
    </row>
    <row r="113">
      <c r="B113" s="8">
        <v>16.0</v>
      </c>
      <c r="C113" s="20">
        <v>46225.0</v>
      </c>
      <c r="D113" s="22" t="s">
        <v>22</v>
      </c>
      <c r="E113" s="21">
        <v>50000.0</v>
      </c>
      <c r="F113" s="21">
        <f t="shared" si="38"/>
        <v>800000</v>
      </c>
      <c r="H113" s="8">
        <v>16.0</v>
      </c>
      <c r="I113" s="20">
        <v>46258.0</v>
      </c>
      <c r="J113" s="22" t="s">
        <v>19</v>
      </c>
      <c r="K113" s="21">
        <v>0.0</v>
      </c>
      <c r="L113" s="21">
        <f>sum(L111+K113)</f>
        <v>600000</v>
      </c>
      <c r="N113" s="8">
        <v>16.0</v>
      </c>
      <c r="O113" s="20">
        <v>46287.0</v>
      </c>
      <c r="P113" s="24" t="s">
        <v>21</v>
      </c>
      <c r="Q113" s="21">
        <v>0.0</v>
      </c>
      <c r="R113" s="21">
        <f t="shared" ref="R113:R116" si="39">sum(R112+Q113)</f>
        <v>0</v>
      </c>
    </row>
    <row r="114">
      <c r="B114" s="8">
        <v>17.0</v>
      </c>
      <c r="C114" s="20">
        <v>46226.0</v>
      </c>
      <c r="D114" s="22" t="s">
        <v>18</v>
      </c>
      <c r="E114" s="21">
        <v>50000.0</v>
      </c>
      <c r="F114" s="21">
        <f t="shared" si="38"/>
        <v>850000</v>
      </c>
      <c r="H114" s="8">
        <v>17.0</v>
      </c>
      <c r="I114" s="20">
        <v>46259.0</v>
      </c>
      <c r="J114" s="22" t="s">
        <v>21</v>
      </c>
      <c r="K114" s="21">
        <v>0.0</v>
      </c>
      <c r="L114" s="21">
        <f t="shared" ref="L114:L117" si="40">sum(L113+K114)</f>
        <v>600000</v>
      </c>
      <c r="N114" s="8">
        <v>17.0</v>
      </c>
      <c r="O114" s="20">
        <v>46288.0</v>
      </c>
      <c r="P114" s="24" t="s">
        <v>22</v>
      </c>
      <c r="Q114" s="21">
        <v>0.0</v>
      </c>
      <c r="R114" s="21">
        <f t="shared" si="39"/>
        <v>0</v>
      </c>
    </row>
    <row r="115">
      <c r="B115" s="8">
        <v>18.0</v>
      </c>
      <c r="C115" s="20">
        <v>46227.0</v>
      </c>
      <c r="D115" s="22" t="s">
        <v>20</v>
      </c>
      <c r="E115" s="21">
        <v>50000.0</v>
      </c>
      <c r="F115" s="21">
        <f t="shared" si="38"/>
        <v>900000</v>
      </c>
      <c r="H115" s="8">
        <v>18.0</v>
      </c>
      <c r="I115" s="20">
        <v>46260.0</v>
      </c>
      <c r="J115" s="22" t="s">
        <v>22</v>
      </c>
      <c r="K115" s="21">
        <v>0.0</v>
      </c>
      <c r="L115" s="21">
        <f t="shared" si="40"/>
        <v>600000</v>
      </c>
      <c r="N115" s="8">
        <v>18.0</v>
      </c>
      <c r="O115" s="20">
        <v>46289.0</v>
      </c>
      <c r="P115" s="24" t="s">
        <v>18</v>
      </c>
      <c r="Q115" s="21">
        <v>0.0</v>
      </c>
      <c r="R115" s="21">
        <f t="shared" si="39"/>
        <v>0</v>
      </c>
    </row>
    <row r="116">
      <c r="B116" s="8"/>
      <c r="D116" s="22"/>
      <c r="E116" s="21"/>
      <c r="F116" s="21"/>
      <c r="H116" s="8">
        <v>19.0</v>
      </c>
      <c r="I116" s="20">
        <v>46261.0</v>
      </c>
      <c r="J116" s="22" t="s">
        <v>18</v>
      </c>
      <c r="K116" s="21">
        <v>0.0</v>
      </c>
      <c r="L116" s="21">
        <f t="shared" si="40"/>
        <v>600000</v>
      </c>
      <c r="N116" s="8">
        <v>19.0</v>
      </c>
      <c r="O116" s="20">
        <v>46290.0</v>
      </c>
      <c r="P116" s="24" t="s">
        <v>20</v>
      </c>
      <c r="Q116" s="21">
        <v>0.0</v>
      </c>
      <c r="R116" s="21">
        <f t="shared" si="39"/>
        <v>0</v>
      </c>
    </row>
    <row r="117">
      <c r="B117" s="8">
        <v>19.0</v>
      </c>
      <c r="C117" s="20">
        <v>46230.0</v>
      </c>
      <c r="D117" s="22" t="s">
        <v>19</v>
      </c>
      <c r="E117" s="21">
        <v>50000.0</v>
      </c>
      <c r="F117" s="21">
        <f>sum(F115+E117)</f>
        <v>950000</v>
      </c>
      <c r="H117" s="8">
        <v>20.0</v>
      </c>
      <c r="I117" s="20">
        <v>46262.0</v>
      </c>
      <c r="J117" s="22" t="s">
        <v>20</v>
      </c>
      <c r="K117" s="21">
        <v>0.0</v>
      </c>
      <c r="L117" s="21">
        <f t="shared" si="40"/>
        <v>600000</v>
      </c>
      <c r="N117" s="12"/>
      <c r="O117" s="12"/>
      <c r="P117" s="12"/>
      <c r="Q117" s="21"/>
      <c r="R117" s="21"/>
    </row>
    <row r="118">
      <c r="B118" s="8">
        <v>20.0</v>
      </c>
      <c r="C118" s="20">
        <v>46231.0</v>
      </c>
      <c r="D118" s="22" t="s">
        <v>21</v>
      </c>
      <c r="E118" s="21">
        <v>50000.0</v>
      </c>
      <c r="F118" s="21">
        <f t="shared" ref="F118:F121" si="41">sum(F117+E118)</f>
        <v>1000000</v>
      </c>
      <c r="K118" s="21"/>
      <c r="L118" s="21"/>
      <c r="N118" s="8">
        <v>20.0</v>
      </c>
      <c r="O118" s="20">
        <v>46293.0</v>
      </c>
      <c r="P118" s="24" t="s">
        <v>19</v>
      </c>
      <c r="Q118" s="21">
        <v>0.0</v>
      </c>
      <c r="R118" s="21">
        <f>sum(R116+Q118)</f>
        <v>0</v>
      </c>
    </row>
    <row r="119">
      <c r="B119" s="8">
        <v>21.0</v>
      </c>
      <c r="C119" s="20">
        <v>46232.0</v>
      </c>
      <c r="D119" s="22" t="s">
        <v>22</v>
      </c>
      <c r="E119" s="21">
        <v>50000.0</v>
      </c>
      <c r="F119" s="21">
        <f t="shared" si="41"/>
        <v>1050000</v>
      </c>
      <c r="H119" s="8">
        <v>21.0</v>
      </c>
      <c r="I119" s="20">
        <v>46265.0</v>
      </c>
      <c r="J119" s="22" t="s">
        <v>19</v>
      </c>
      <c r="K119" s="21">
        <v>0.0</v>
      </c>
      <c r="L119" s="21">
        <f>sum(L117+K119)</f>
        <v>600000</v>
      </c>
      <c r="N119" s="8">
        <v>21.0</v>
      </c>
      <c r="O119" s="20">
        <v>46294.0</v>
      </c>
      <c r="P119" s="24" t="s">
        <v>21</v>
      </c>
      <c r="Q119" s="21">
        <v>0.0</v>
      </c>
      <c r="R119" s="21">
        <f t="shared" ref="R119:R120" si="42">sum(R118+Q119)</f>
        <v>0</v>
      </c>
    </row>
    <row r="120">
      <c r="B120" s="8">
        <v>22.0</v>
      </c>
      <c r="C120" s="20">
        <v>46233.0</v>
      </c>
      <c r="D120" s="22" t="s">
        <v>18</v>
      </c>
      <c r="E120" s="21">
        <v>50000.0</v>
      </c>
      <c r="F120" s="21">
        <f t="shared" si="41"/>
        <v>1100000</v>
      </c>
      <c r="H120" s="13" t="s">
        <v>35</v>
      </c>
      <c r="K120" s="23">
        <f>L119</f>
        <v>600000</v>
      </c>
      <c r="N120" s="8">
        <v>22.0</v>
      </c>
      <c r="O120" s="20">
        <v>46295.0</v>
      </c>
      <c r="P120" s="24" t="s">
        <v>22</v>
      </c>
      <c r="Q120" s="21">
        <v>0.0</v>
      </c>
      <c r="R120" s="21">
        <f t="shared" si="42"/>
        <v>0</v>
      </c>
    </row>
    <row r="121">
      <c r="B121" s="8">
        <v>23.0</v>
      </c>
      <c r="C121" s="20">
        <v>46234.0</v>
      </c>
      <c r="D121" s="22" t="s">
        <v>20</v>
      </c>
      <c r="E121" s="21">
        <v>50000.0</v>
      </c>
      <c r="F121" s="21">
        <f t="shared" si="41"/>
        <v>1150000</v>
      </c>
      <c r="N121" s="13" t="s">
        <v>36</v>
      </c>
      <c r="Q121" s="23">
        <f>R120</f>
        <v>0</v>
      </c>
    </row>
    <row r="122">
      <c r="B122" s="13" t="s">
        <v>37</v>
      </c>
      <c r="E122" s="23">
        <f>F121</f>
        <v>1150000</v>
      </c>
    </row>
    <row r="123">
      <c r="I123" s="20"/>
    </row>
    <row r="124">
      <c r="I124" s="20"/>
    </row>
    <row r="125">
      <c r="B125" s="28" t="s">
        <v>38</v>
      </c>
      <c r="H125" s="28" t="s">
        <v>39</v>
      </c>
      <c r="N125" s="28" t="s">
        <v>40</v>
      </c>
    </row>
    <row r="127">
      <c r="B127" s="26" t="s">
        <v>6</v>
      </c>
      <c r="C127" s="26" t="s">
        <v>17</v>
      </c>
      <c r="D127" s="26" t="s">
        <v>11</v>
      </c>
      <c r="E127" s="26" t="s">
        <v>9</v>
      </c>
      <c r="F127" s="26" t="s">
        <v>10</v>
      </c>
      <c r="H127" s="26" t="s">
        <v>6</v>
      </c>
      <c r="I127" s="26" t="s">
        <v>17</v>
      </c>
      <c r="J127" s="26" t="s">
        <v>11</v>
      </c>
      <c r="K127" s="26" t="s">
        <v>9</v>
      </c>
      <c r="L127" s="26" t="s">
        <v>10</v>
      </c>
      <c r="N127" s="26" t="s">
        <v>6</v>
      </c>
      <c r="O127" s="26" t="s">
        <v>17</v>
      </c>
      <c r="P127" s="26" t="s">
        <v>11</v>
      </c>
      <c r="Q127" s="26" t="s">
        <v>9</v>
      </c>
      <c r="R127" s="26" t="s">
        <v>10</v>
      </c>
    </row>
    <row r="128">
      <c r="B128" s="8">
        <v>1.0</v>
      </c>
      <c r="C128" s="20">
        <v>46296.0</v>
      </c>
      <c r="D128" s="12" t="s">
        <v>18</v>
      </c>
      <c r="E128" s="21">
        <v>0.0</v>
      </c>
      <c r="F128" s="21">
        <f>(E128)</f>
        <v>0</v>
      </c>
      <c r="H128" s="8">
        <v>1.0</v>
      </c>
      <c r="I128" s="29">
        <v>46328.0</v>
      </c>
      <c r="J128" s="22" t="s">
        <v>19</v>
      </c>
      <c r="K128" s="21">
        <v>0.0</v>
      </c>
      <c r="L128" s="21">
        <f>(K128)</f>
        <v>0</v>
      </c>
      <c r="N128" s="8">
        <v>1.0</v>
      </c>
      <c r="O128" s="20">
        <v>46357.0</v>
      </c>
      <c r="P128" s="22" t="s">
        <v>21</v>
      </c>
      <c r="Q128" s="21">
        <v>0.0</v>
      </c>
      <c r="R128" s="21">
        <f>(Q128)</f>
        <v>0</v>
      </c>
    </row>
    <row r="129">
      <c r="B129" s="8">
        <v>2.0</v>
      </c>
      <c r="C129" s="20">
        <v>46297.0</v>
      </c>
      <c r="D129" s="12" t="s">
        <v>20</v>
      </c>
      <c r="E129" s="21">
        <v>0.0</v>
      </c>
      <c r="F129" s="21">
        <f>sum(F128+E129)</f>
        <v>0</v>
      </c>
      <c r="H129" s="8">
        <v>2.0</v>
      </c>
      <c r="I129" s="29">
        <v>46329.0</v>
      </c>
      <c r="J129" s="22" t="s">
        <v>21</v>
      </c>
      <c r="K129" s="21">
        <v>0.0</v>
      </c>
      <c r="L129" s="21">
        <f t="shared" ref="L129:L132" si="43">sum(L128+K129)</f>
        <v>0</v>
      </c>
      <c r="N129" s="8">
        <v>2.0</v>
      </c>
      <c r="O129" s="20">
        <v>46358.0</v>
      </c>
      <c r="P129" s="22" t="s">
        <v>22</v>
      </c>
      <c r="Q129" s="21">
        <v>0.0</v>
      </c>
      <c r="R129" s="21">
        <f t="shared" ref="R129:R131" si="44">sum(R128+Q129)</f>
        <v>0</v>
      </c>
    </row>
    <row r="130">
      <c r="C130" s="20"/>
      <c r="E130" s="21"/>
      <c r="F130" s="21"/>
      <c r="H130" s="8">
        <v>3.0</v>
      </c>
      <c r="I130" s="29">
        <v>46330.0</v>
      </c>
      <c r="J130" s="22" t="s">
        <v>22</v>
      </c>
      <c r="K130" s="21">
        <v>0.0</v>
      </c>
      <c r="L130" s="21">
        <f t="shared" si="43"/>
        <v>0</v>
      </c>
      <c r="N130" s="8">
        <v>3.0</v>
      </c>
      <c r="O130" s="20">
        <v>46359.0</v>
      </c>
      <c r="P130" s="22" t="s">
        <v>18</v>
      </c>
      <c r="Q130" s="21">
        <v>0.0</v>
      </c>
      <c r="R130" s="21">
        <f t="shared" si="44"/>
        <v>0</v>
      </c>
    </row>
    <row r="131">
      <c r="B131" s="8">
        <v>3.0</v>
      </c>
      <c r="C131" s="20">
        <v>46300.0</v>
      </c>
      <c r="D131" s="22" t="s">
        <v>19</v>
      </c>
      <c r="E131" s="21">
        <v>0.0</v>
      </c>
      <c r="F131" s="21">
        <f>sum(F129+E131)</f>
        <v>0</v>
      </c>
      <c r="H131" s="8">
        <v>4.0</v>
      </c>
      <c r="I131" s="29">
        <v>46331.0</v>
      </c>
      <c r="J131" s="22" t="s">
        <v>18</v>
      </c>
      <c r="K131" s="21">
        <v>0.0</v>
      </c>
      <c r="L131" s="21">
        <f t="shared" si="43"/>
        <v>0</v>
      </c>
      <c r="N131" s="8">
        <v>4.0</v>
      </c>
      <c r="O131" s="20">
        <v>46360.0</v>
      </c>
      <c r="P131" s="22" t="s">
        <v>20</v>
      </c>
      <c r="Q131" s="21">
        <v>0.0</v>
      </c>
      <c r="R131" s="21">
        <f t="shared" si="44"/>
        <v>0</v>
      </c>
    </row>
    <row r="132">
      <c r="B132" s="8">
        <v>4.0</v>
      </c>
      <c r="C132" s="20">
        <v>46301.0</v>
      </c>
      <c r="D132" s="22" t="s">
        <v>21</v>
      </c>
      <c r="E132" s="21">
        <v>0.0</v>
      </c>
      <c r="F132" s="21">
        <f t="shared" ref="F132:F135" si="45">sum(F131+E132)</f>
        <v>0</v>
      </c>
      <c r="H132" s="8">
        <v>5.0</v>
      </c>
      <c r="I132" s="29">
        <v>46332.0</v>
      </c>
      <c r="J132" s="22" t="s">
        <v>20</v>
      </c>
      <c r="K132" s="21">
        <v>0.0</v>
      </c>
      <c r="L132" s="21">
        <f t="shared" si="43"/>
        <v>0</v>
      </c>
      <c r="O132" s="20"/>
      <c r="Q132" s="21"/>
      <c r="R132" s="21"/>
    </row>
    <row r="133">
      <c r="B133" s="8">
        <v>5.0</v>
      </c>
      <c r="C133" s="20">
        <v>46302.0</v>
      </c>
      <c r="D133" s="22" t="s">
        <v>22</v>
      </c>
      <c r="E133" s="21">
        <v>0.0</v>
      </c>
      <c r="F133" s="21">
        <f t="shared" si="45"/>
        <v>0</v>
      </c>
      <c r="K133" s="21"/>
      <c r="L133" s="21"/>
      <c r="N133" s="8">
        <v>5.0</v>
      </c>
      <c r="O133" s="20">
        <v>46363.0</v>
      </c>
      <c r="P133" s="22" t="s">
        <v>19</v>
      </c>
      <c r="Q133" s="21">
        <v>0.0</v>
      </c>
      <c r="R133" s="21">
        <f>sum(R131+Q133)</f>
        <v>0</v>
      </c>
    </row>
    <row r="134">
      <c r="B134" s="8">
        <v>6.0</v>
      </c>
      <c r="C134" s="20">
        <v>46303.0</v>
      </c>
      <c r="D134" s="22" t="s">
        <v>18</v>
      </c>
      <c r="E134" s="21">
        <v>0.0</v>
      </c>
      <c r="F134" s="21">
        <f t="shared" si="45"/>
        <v>0</v>
      </c>
      <c r="H134" s="8">
        <v>6.0</v>
      </c>
      <c r="I134" s="29">
        <v>46335.0</v>
      </c>
      <c r="J134" s="22" t="s">
        <v>19</v>
      </c>
      <c r="K134" s="21">
        <v>0.0</v>
      </c>
      <c r="L134" s="21">
        <f>sum(L132+K134)</f>
        <v>0</v>
      </c>
      <c r="N134" s="8">
        <v>6.0</v>
      </c>
      <c r="O134" s="20">
        <v>46364.0</v>
      </c>
      <c r="P134" s="22" t="s">
        <v>21</v>
      </c>
      <c r="Q134" s="21">
        <v>0.0</v>
      </c>
      <c r="R134" s="21">
        <f t="shared" ref="R134:R137" si="46">sum(R133+Q134)</f>
        <v>0</v>
      </c>
    </row>
    <row r="135">
      <c r="B135" s="8">
        <v>7.0</v>
      </c>
      <c r="C135" s="20">
        <v>46304.0</v>
      </c>
      <c r="D135" s="22" t="s">
        <v>20</v>
      </c>
      <c r="E135" s="21">
        <v>0.0</v>
      </c>
      <c r="F135" s="21">
        <f t="shared" si="45"/>
        <v>0</v>
      </c>
      <c r="H135" s="8">
        <v>7.0</v>
      </c>
      <c r="I135" s="30">
        <v>46336.0</v>
      </c>
      <c r="J135" s="22" t="s">
        <v>21</v>
      </c>
      <c r="K135" s="21">
        <v>0.0</v>
      </c>
      <c r="L135" s="21">
        <f t="shared" ref="L135:L138" si="47">sum(L134+K135)</f>
        <v>0</v>
      </c>
      <c r="N135" s="8">
        <v>7.0</v>
      </c>
      <c r="O135" s="20">
        <v>46365.0</v>
      </c>
      <c r="P135" s="22" t="s">
        <v>22</v>
      </c>
      <c r="Q135" s="21">
        <v>0.0</v>
      </c>
      <c r="R135" s="21">
        <f t="shared" si="46"/>
        <v>0</v>
      </c>
    </row>
    <row r="136">
      <c r="E136" s="21"/>
      <c r="F136" s="21"/>
      <c r="H136" s="8">
        <v>8.0</v>
      </c>
      <c r="I136" s="30">
        <v>46337.0</v>
      </c>
      <c r="J136" s="22" t="s">
        <v>22</v>
      </c>
      <c r="K136" s="21">
        <v>0.0</v>
      </c>
      <c r="L136" s="21">
        <f t="shared" si="47"/>
        <v>0</v>
      </c>
      <c r="N136" s="8">
        <v>8.0</v>
      </c>
      <c r="O136" s="20">
        <v>46366.0</v>
      </c>
      <c r="P136" s="22" t="s">
        <v>18</v>
      </c>
      <c r="Q136" s="21">
        <v>0.0</v>
      </c>
      <c r="R136" s="21">
        <f t="shared" si="46"/>
        <v>0</v>
      </c>
    </row>
    <row r="137">
      <c r="B137" s="8">
        <v>8.0</v>
      </c>
      <c r="C137" s="20">
        <v>46307.0</v>
      </c>
      <c r="D137" s="22" t="s">
        <v>19</v>
      </c>
      <c r="E137" s="21">
        <v>0.0</v>
      </c>
      <c r="F137" s="21">
        <f>sum(F135+E137)</f>
        <v>0</v>
      </c>
      <c r="H137" s="8">
        <v>9.0</v>
      </c>
      <c r="I137" s="30">
        <v>46338.0</v>
      </c>
      <c r="J137" s="22" t="s">
        <v>18</v>
      </c>
      <c r="K137" s="21">
        <v>0.0</v>
      </c>
      <c r="L137" s="21">
        <f t="shared" si="47"/>
        <v>0</v>
      </c>
      <c r="N137" s="8">
        <v>9.0</v>
      </c>
      <c r="O137" s="20">
        <v>46367.0</v>
      </c>
      <c r="P137" s="22" t="s">
        <v>20</v>
      </c>
      <c r="Q137" s="21">
        <v>0.0</v>
      </c>
      <c r="R137" s="21">
        <f t="shared" si="46"/>
        <v>0</v>
      </c>
    </row>
    <row r="138">
      <c r="B138" s="8">
        <v>9.0</v>
      </c>
      <c r="C138" s="20">
        <v>46308.0</v>
      </c>
      <c r="D138" s="22" t="s">
        <v>21</v>
      </c>
      <c r="E138" s="21">
        <v>0.0</v>
      </c>
      <c r="F138" s="21">
        <f t="shared" ref="F138:F141" si="48">sum(F137+E138)</f>
        <v>0</v>
      </c>
      <c r="H138" s="8">
        <v>10.0</v>
      </c>
      <c r="I138" s="30">
        <v>46339.0</v>
      </c>
      <c r="J138" s="22" t="s">
        <v>20</v>
      </c>
      <c r="K138" s="21">
        <v>0.0</v>
      </c>
      <c r="L138" s="21">
        <f t="shared" si="47"/>
        <v>0</v>
      </c>
      <c r="Q138" s="21"/>
      <c r="R138" s="21"/>
    </row>
    <row r="139">
      <c r="B139" s="8">
        <v>10.0</v>
      </c>
      <c r="C139" s="20">
        <v>46309.0</v>
      </c>
      <c r="D139" s="22" t="s">
        <v>22</v>
      </c>
      <c r="E139" s="21">
        <v>0.0</v>
      </c>
      <c r="F139" s="21">
        <f t="shared" si="48"/>
        <v>0</v>
      </c>
      <c r="K139" s="21"/>
      <c r="L139" s="21"/>
      <c r="N139" s="8">
        <v>10.0</v>
      </c>
      <c r="O139" s="20">
        <v>46370.0</v>
      </c>
      <c r="P139" s="22" t="s">
        <v>19</v>
      </c>
      <c r="Q139" s="21">
        <v>0.0</v>
      </c>
      <c r="R139" s="21">
        <f>sum(R137+Q139)</f>
        <v>0</v>
      </c>
    </row>
    <row r="140">
      <c r="B140" s="8">
        <v>11.0</v>
      </c>
      <c r="C140" s="20">
        <v>46310.0</v>
      </c>
      <c r="D140" s="22" t="s">
        <v>18</v>
      </c>
      <c r="E140" s="21">
        <v>0.0</v>
      </c>
      <c r="F140" s="21">
        <f t="shared" si="48"/>
        <v>0</v>
      </c>
      <c r="H140" s="8">
        <v>11.0</v>
      </c>
      <c r="I140" s="30">
        <v>46342.0</v>
      </c>
      <c r="J140" s="22" t="s">
        <v>19</v>
      </c>
      <c r="K140" s="21">
        <v>0.0</v>
      </c>
      <c r="L140" s="21">
        <f>sum(L138+K140)</f>
        <v>0</v>
      </c>
      <c r="N140" s="8">
        <v>11.0</v>
      </c>
      <c r="O140" s="20">
        <v>46371.0</v>
      </c>
      <c r="P140" s="22" t="s">
        <v>21</v>
      </c>
      <c r="Q140" s="21">
        <v>0.0</v>
      </c>
      <c r="R140" s="21">
        <f t="shared" ref="R140:R143" si="49">sum(R139+Q140)</f>
        <v>0</v>
      </c>
    </row>
    <row r="141">
      <c r="B141" s="8">
        <v>12.0</v>
      </c>
      <c r="C141" s="20">
        <v>46311.0</v>
      </c>
      <c r="D141" s="22" t="s">
        <v>20</v>
      </c>
      <c r="E141" s="21">
        <v>0.0</v>
      </c>
      <c r="F141" s="21">
        <f t="shared" si="48"/>
        <v>0</v>
      </c>
      <c r="H141" s="8">
        <v>12.0</v>
      </c>
      <c r="I141" s="30">
        <v>46343.0</v>
      </c>
      <c r="J141" s="22" t="s">
        <v>21</v>
      </c>
      <c r="K141" s="21">
        <v>0.0</v>
      </c>
      <c r="L141" s="21">
        <f t="shared" ref="L141:L144" si="50">sum(L140+K141)</f>
        <v>0</v>
      </c>
      <c r="N141" s="8">
        <v>12.0</v>
      </c>
      <c r="O141" s="20">
        <v>46372.0</v>
      </c>
      <c r="P141" s="22" t="s">
        <v>22</v>
      </c>
      <c r="Q141" s="21">
        <v>0.0</v>
      </c>
      <c r="R141" s="21">
        <f t="shared" si="49"/>
        <v>0</v>
      </c>
    </row>
    <row r="142">
      <c r="E142" s="21"/>
      <c r="F142" s="21"/>
      <c r="H142" s="8">
        <v>13.0</v>
      </c>
      <c r="I142" s="30">
        <v>46344.0</v>
      </c>
      <c r="J142" s="22" t="s">
        <v>22</v>
      </c>
      <c r="K142" s="21">
        <v>0.0</v>
      </c>
      <c r="L142" s="21">
        <f t="shared" si="50"/>
        <v>0</v>
      </c>
      <c r="N142" s="8">
        <v>13.0</v>
      </c>
      <c r="O142" s="20">
        <v>46373.0</v>
      </c>
      <c r="P142" s="22" t="s">
        <v>18</v>
      </c>
      <c r="Q142" s="21">
        <v>0.0</v>
      </c>
      <c r="R142" s="21">
        <f t="shared" si="49"/>
        <v>0</v>
      </c>
    </row>
    <row r="143">
      <c r="B143" s="8">
        <v>13.0</v>
      </c>
      <c r="C143" s="20">
        <v>46314.0</v>
      </c>
      <c r="D143" s="22" t="s">
        <v>19</v>
      </c>
      <c r="E143" s="21">
        <v>0.0</v>
      </c>
      <c r="F143" s="21">
        <f>sum(F141+E143)</f>
        <v>0</v>
      </c>
      <c r="H143" s="8">
        <v>14.0</v>
      </c>
      <c r="I143" s="30">
        <v>46345.0</v>
      </c>
      <c r="J143" s="22" t="s">
        <v>18</v>
      </c>
      <c r="K143" s="21">
        <v>0.0</v>
      </c>
      <c r="L143" s="21">
        <f t="shared" si="50"/>
        <v>0</v>
      </c>
      <c r="N143" s="8">
        <v>14.0</v>
      </c>
      <c r="O143" s="20">
        <v>46374.0</v>
      </c>
      <c r="P143" s="22" t="s">
        <v>20</v>
      </c>
      <c r="Q143" s="21">
        <v>0.0</v>
      </c>
      <c r="R143" s="21">
        <f t="shared" si="49"/>
        <v>0</v>
      </c>
    </row>
    <row r="144">
      <c r="B144" s="8">
        <v>14.0</v>
      </c>
      <c r="C144" s="20">
        <v>46315.0</v>
      </c>
      <c r="D144" s="22" t="s">
        <v>21</v>
      </c>
      <c r="E144" s="21">
        <v>0.0</v>
      </c>
      <c r="F144" s="21">
        <f t="shared" ref="F144:F147" si="51">sum(F143+E144)</f>
        <v>0</v>
      </c>
      <c r="H144" s="8">
        <v>15.0</v>
      </c>
      <c r="I144" s="30">
        <v>46346.0</v>
      </c>
      <c r="J144" s="22" t="s">
        <v>20</v>
      </c>
      <c r="K144" s="21">
        <v>0.0</v>
      </c>
      <c r="L144" s="21">
        <f t="shared" si="50"/>
        <v>0</v>
      </c>
      <c r="Q144" s="21"/>
      <c r="R144" s="21"/>
    </row>
    <row r="145">
      <c r="B145" s="8">
        <v>15.0</v>
      </c>
      <c r="C145" s="20">
        <v>46316.0</v>
      </c>
      <c r="D145" s="22" t="s">
        <v>22</v>
      </c>
      <c r="E145" s="21">
        <v>0.0</v>
      </c>
      <c r="F145" s="21">
        <f t="shared" si="51"/>
        <v>0</v>
      </c>
      <c r="K145" s="21"/>
      <c r="L145" s="21"/>
      <c r="N145" s="8">
        <v>15.0</v>
      </c>
      <c r="O145" s="20">
        <v>46377.0</v>
      </c>
      <c r="P145" s="22" t="s">
        <v>19</v>
      </c>
      <c r="Q145" s="21">
        <v>0.0</v>
      </c>
      <c r="R145" s="21">
        <f>sum(R143+Q145)</f>
        <v>0</v>
      </c>
    </row>
    <row r="146">
      <c r="B146" s="8">
        <v>16.0</v>
      </c>
      <c r="C146" s="20">
        <v>46317.0</v>
      </c>
      <c r="D146" s="22" t="s">
        <v>18</v>
      </c>
      <c r="E146" s="21">
        <v>0.0</v>
      </c>
      <c r="F146" s="21">
        <f t="shared" si="51"/>
        <v>0</v>
      </c>
      <c r="H146" s="8">
        <v>16.0</v>
      </c>
      <c r="I146" s="30">
        <v>46349.0</v>
      </c>
      <c r="J146" s="22" t="s">
        <v>19</v>
      </c>
      <c r="K146" s="21">
        <v>0.0</v>
      </c>
      <c r="L146" s="21">
        <f>sum(L144+K146)</f>
        <v>0</v>
      </c>
      <c r="N146" s="8">
        <v>16.0</v>
      </c>
      <c r="O146" s="20">
        <v>46378.0</v>
      </c>
      <c r="P146" s="22" t="s">
        <v>21</v>
      </c>
      <c r="Q146" s="21">
        <v>0.0</v>
      </c>
      <c r="R146" s="21">
        <f t="shared" ref="R146:R149" si="52">sum(R145+Q146)</f>
        <v>0</v>
      </c>
    </row>
    <row r="147">
      <c r="B147" s="8">
        <v>17.0</v>
      </c>
      <c r="C147" s="20">
        <v>46318.0</v>
      </c>
      <c r="D147" s="22" t="s">
        <v>20</v>
      </c>
      <c r="E147" s="21">
        <v>0.0</v>
      </c>
      <c r="F147" s="21">
        <f t="shared" si="51"/>
        <v>0</v>
      </c>
      <c r="H147" s="8">
        <v>17.0</v>
      </c>
      <c r="I147" s="30">
        <v>46350.0</v>
      </c>
      <c r="J147" s="22" t="s">
        <v>21</v>
      </c>
      <c r="K147" s="21">
        <v>0.0</v>
      </c>
      <c r="L147" s="21">
        <f t="shared" ref="L147:L150" si="53">sum(L146+K147)</f>
        <v>0</v>
      </c>
      <c r="N147" s="8">
        <v>17.0</v>
      </c>
      <c r="O147" s="20">
        <v>46379.0</v>
      </c>
      <c r="P147" s="22" t="s">
        <v>22</v>
      </c>
      <c r="Q147" s="21">
        <v>0.0</v>
      </c>
      <c r="R147" s="21">
        <f t="shared" si="52"/>
        <v>0</v>
      </c>
    </row>
    <row r="148">
      <c r="E148" s="21"/>
      <c r="F148" s="21"/>
      <c r="H148" s="8">
        <v>18.0</v>
      </c>
      <c r="I148" s="30">
        <v>46351.0</v>
      </c>
      <c r="J148" s="22" t="s">
        <v>22</v>
      </c>
      <c r="K148" s="21">
        <v>0.0</v>
      </c>
      <c r="L148" s="21">
        <f t="shared" si="53"/>
        <v>0</v>
      </c>
      <c r="N148" s="8">
        <v>18.0</v>
      </c>
      <c r="O148" s="20">
        <v>46380.0</v>
      </c>
      <c r="P148" s="22" t="s">
        <v>18</v>
      </c>
      <c r="Q148" s="21">
        <v>0.0</v>
      </c>
      <c r="R148" s="21">
        <f t="shared" si="52"/>
        <v>0</v>
      </c>
    </row>
    <row r="149">
      <c r="B149" s="8">
        <v>18.0</v>
      </c>
      <c r="C149" s="20">
        <v>46321.0</v>
      </c>
      <c r="D149" s="22" t="s">
        <v>19</v>
      </c>
      <c r="E149" s="21">
        <v>0.0</v>
      </c>
      <c r="F149" s="21">
        <f>sum(F147+E149)</f>
        <v>0</v>
      </c>
      <c r="H149" s="8">
        <v>19.0</v>
      </c>
      <c r="I149" s="30">
        <v>46352.0</v>
      </c>
      <c r="J149" s="22" t="s">
        <v>18</v>
      </c>
      <c r="K149" s="21">
        <v>0.0</v>
      </c>
      <c r="L149" s="21">
        <f t="shared" si="53"/>
        <v>0</v>
      </c>
      <c r="N149" s="8">
        <v>19.0</v>
      </c>
      <c r="O149" s="20">
        <v>46381.0</v>
      </c>
      <c r="P149" s="22" t="s">
        <v>20</v>
      </c>
      <c r="Q149" s="21">
        <v>0.0</v>
      </c>
      <c r="R149" s="21">
        <f t="shared" si="52"/>
        <v>0</v>
      </c>
    </row>
    <row r="150">
      <c r="B150" s="8">
        <v>19.0</v>
      </c>
      <c r="C150" s="20">
        <v>46322.0</v>
      </c>
      <c r="D150" s="22" t="s">
        <v>21</v>
      </c>
      <c r="E150" s="21">
        <v>0.0</v>
      </c>
      <c r="F150" s="21">
        <f t="shared" ref="F150:F153" si="54">sum(F149+E150)</f>
        <v>0</v>
      </c>
      <c r="H150" s="8">
        <v>20.0</v>
      </c>
      <c r="I150" s="30">
        <v>46353.0</v>
      </c>
      <c r="J150" s="22" t="s">
        <v>20</v>
      </c>
      <c r="K150" s="21">
        <v>0.0</v>
      </c>
      <c r="L150" s="21">
        <f t="shared" si="53"/>
        <v>0</v>
      </c>
      <c r="Q150" s="21"/>
      <c r="R150" s="21"/>
    </row>
    <row r="151">
      <c r="B151" s="8">
        <v>20.0</v>
      </c>
      <c r="C151" s="20">
        <v>46323.0</v>
      </c>
      <c r="D151" s="22" t="s">
        <v>22</v>
      </c>
      <c r="E151" s="21">
        <v>0.0</v>
      </c>
      <c r="F151" s="21">
        <f t="shared" si="54"/>
        <v>0</v>
      </c>
      <c r="K151" s="21"/>
      <c r="L151" s="21"/>
      <c r="N151" s="8">
        <v>20.0</v>
      </c>
      <c r="O151" s="20">
        <v>46384.0</v>
      </c>
      <c r="P151" s="22" t="s">
        <v>19</v>
      </c>
      <c r="Q151" s="21">
        <v>0.0</v>
      </c>
      <c r="R151" s="21">
        <f>sum(R149+Q151)</f>
        <v>0</v>
      </c>
    </row>
    <row r="152">
      <c r="B152" s="8">
        <v>21.0</v>
      </c>
      <c r="C152" s="20">
        <v>46324.0</v>
      </c>
      <c r="D152" s="22" t="s">
        <v>18</v>
      </c>
      <c r="E152" s="21">
        <v>0.0</v>
      </c>
      <c r="F152" s="21">
        <f t="shared" si="54"/>
        <v>0</v>
      </c>
      <c r="H152" s="8">
        <v>21.0</v>
      </c>
      <c r="I152" s="30">
        <v>46356.0</v>
      </c>
      <c r="J152" s="22" t="s">
        <v>19</v>
      </c>
      <c r="K152" s="21">
        <v>0.0</v>
      </c>
      <c r="L152" s="21">
        <f>sum(L150+K152)</f>
        <v>0</v>
      </c>
      <c r="N152" s="8">
        <v>21.0</v>
      </c>
      <c r="O152" s="20">
        <v>46385.0</v>
      </c>
      <c r="P152" s="22" t="s">
        <v>21</v>
      </c>
      <c r="Q152" s="21">
        <v>0.0</v>
      </c>
      <c r="R152" s="21">
        <f t="shared" ref="R152:R154" si="55">sum(R151+Q152)</f>
        <v>0</v>
      </c>
    </row>
    <row r="153">
      <c r="B153" s="8">
        <v>22.0</v>
      </c>
      <c r="C153" s="20">
        <v>46325.0</v>
      </c>
      <c r="D153" s="22" t="s">
        <v>20</v>
      </c>
      <c r="E153" s="21">
        <v>0.0</v>
      </c>
      <c r="F153" s="21">
        <f t="shared" si="54"/>
        <v>0</v>
      </c>
      <c r="H153" s="13" t="s">
        <v>41</v>
      </c>
      <c r="K153" s="23">
        <f>L152</f>
        <v>0</v>
      </c>
      <c r="N153" s="8">
        <v>22.0</v>
      </c>
      <c r="O153" s="20">
        <v>46386.0</v>
      </c>
      <c r="P153" s="22" t="s">
        <v>22</v>
      </c>
      <c r="Q153" s="21">
        <v>0.0</v>
      </c>
      <c r="R153" s="21">
        <f t="shared" si="55"/>
        <v>0</v>
      </c>
    </row>
    <row r="154">
      <c r="B154" s="13" t="s">
        <v>42</v>
      </c>
      <c r="E154" s="23">
        <f>F153</f>
        <v>0</v>
      </c>
      <c r="N154" s="8">
        <v>23.0</v>
      </c>
      <c r="O154" s="20">
        <v>46387.0</v>
      </c>
      <c r="P154" s="22" t="s">
        <v>18</v>
      </c>
      <c r="Q154" s="21">
        <v>0.0</v>
      </c>
      <c r="R154" s="21">
        <f t="shared" si="55"/>
        <v>0</v>
      </c>
    </row>
    <row r="155">
      <c r="I155" s="20"/>
      <c r="N155" s="13" t="s">
        <v>43</v>
      </c>
      <c r="Q155" s="23">
        <f>R154</f>
        <v>0</v>
      </c>
    </row>
  </sheetData>
  <mergeCells count="42">
    <mergeCell ref="A3:G19"/>
    <mergeCell ref="I3:L5"/>
    <mergeCell ref="N3:S4"/>
    <mergeCell ref="I6:J7"/>
    <mergeCell ref="N19:O19"/>
    <mergeCell ref="B24:R26"/>
    <mergeCell ref="B28:F29"/>
    <mergeCell ref="B57:D57"/>
    <mergeCell ref="B60:F61"/>
    <mergeCell ref="H60:L61"/>
    <mergeCell ref="N60:R61"/>
    <mergeCell ref="H28:L29"/>
    <mergeCell ref="N28:R29"/>
    <mergeCell ref="H54:J54"/>
    <mergeCell ref="K54:L54"/>
    <mergeCell ref="E57:F57"/>
    <mergeCell ref="N57:P57"/>
    <mergeCell ref="Q57:R57"/>
    <mergeCell ref="H88:J88"/>
    <mergeCell ref="K88:L88"/>
    <mergeCell ref="B89:D89"/>
    <mergeCell ref="E89:F89"/>
    <mergeCell ref="N89:P89"/>
    <mergeCell ref="Q89:R89"/>
    <mergeCell ref="B92:F93"/>
    <mergeCell ref="B122:D122"/>
    <mergeCell ref="B125:F126"/>
    <mergeCell ref="H125:L126"/>
    <mergeCell ref="N125:R126"/>
    <mergeCell ref="H153:J153"/>
    <mergeCell ref="K153:L153"/>
    <mergeCell ref="B154:D154"/>
    <mergeCell ref="E154:F154"/>
    <mergeCell ref="N155:P155"/>
    <mergeCell ref="Q155:R155"/>
    <mergeCell ref="H92:L93"/>
    <mergeCell ref="N92:R93"/>
    <mergeCell ref="H120:J120"/>
    <mergeCell ref="K120:L120"/>
    <mergeCell ref="N121:P121"/>
    <mergeCell ref="Q121:R121"/>
    <mergeCell ref="E122:F1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13"/>
    <col customWidth="1" min="3" max="3" width="18.13"/>
    <col customWidth="1" min="4" max="4" width="15.88"/>
    <col customWidth="1" min="8" max="8" width="3.75"/>
    <col customWidth="1" min="9" max="9" width="16.38"/>
    <col customWidth="1" min="10" max="10" width="14.75"/>
    <col customWidth="1" min="11" max="12" width="13.5"/>
    <col customWidth="1" min="14" max="14" width="3.63"/>
    <col customWidth="1" min="15" max="15" width="16.38"/>
    <col customWidth="1" min="16" max="16" width="14.5"/>
    <col customWidth="1" min="17" max="18" width="13.63"/>
  </cols>
  <sheetData>
    <row r="3">
      <c r="A3" s="1" t="s">
        <v>5</v>
      </c>
      <c r="I3" s="2" t="s">
        <v>1</v>
      </c>
      <c r="N3" s="3" t="s">
        <v>2</v>
      </c>
    </row>
    <row r="6">
      <c r="H6" s="4"/>
      <c r="I6" s="5">
        <v>600000.0</v>
      </c>
      <c r="N6" s="6" t="s">
        <v>6</v>
      </c>
      <c r="O6" s="6" t="s">
        <v>7</v>
      </c>
      <c r="P6" s="7" t="s">
        <v>8</v>
      </c>
      <c r="Q6" s="6" t="s">
        <v>9</v>
      </c>
      <c r="R6" s="6" t="s">
        <v>10</v>
      </c>
      <c r="S6" s="6" t="s">
        <v>11</v>
      </c>
    </row>
    <row r="7">
      <c r="H7" s="4"/>
      <c r="N7" s="8">
        <v>1.0</v>
      </c>
      <c r="O7" s="9">
        <v>46023.0</v>
      </c>
      <c r="P7" s="10">
        <f t="shared" ref="P7:P18" si="1">$I$6</f>
        <v>600000</v>
      </c>
      <c r="Q7" s="11">
        <f>E57</f>
        <v>900000</v>
      </c>
      <c r="R7" s="11">
        <f t="shared" ref="R7:R18" si="2">sum(Q7-P7)</f>
        <v>300000</v>
      </c>
      <c r="S7" s="8"/>
    </row>
    <row r="8">
      <c r="H8" s="4"/>
      <c r="N8" s="8">
        <v>2.0</v>
      </c>
      <c r="O8" s="9">
        <v>46054.0</v>
      </c>
      <c r="P8" s="10">
        <f t="shared" si="1"/>
        <v>600000</v>
      </c>
      <c r="Q8" s="11">
        <f>K54</f>
        <v>1010000</v>
      </c>
      <c r="R8" s="11">
        <f t="shared" si="2"/>
        <v>410000</v>
      </c>
      <c r="S8" s="12"/>
    </row>
    <row r="9">
      <c r="H9" s="4"/>
      <c r="N9" s="8">
        <v>3.0</v>
      </c>
      <c r="O9" s="9">
        <v>46082.0</v>
      </c>
      <c r="P9" s="10">
        <f t="shared" si="1"/>
        <v>600000</v>
      </c>
      <c r="Q9" s="11">
        <f>Q57</f>
        <v>600000</v>
      </c>
      <c r="R9" s="11">
        <f t="shared" si="2"/>
        <v>0</v>
      </c>
      <c r="S9" s="12"/>
    </row>
    <row r="10">
      <c r="H10" s="4"/>
      <c r="N10" s="8">
        <v>4.0</v>
      </c>
      <c r="O10" s="9">
        <v>46113.0</v>
      </c>
      <c r="P10" s="10">
        <f t="shared" si="1"/>
        <v>600000</v>
      </c>
      <c r="Q10" s="11">
        <f>E89</f>
        <v>780000</v>
      </c>
      <c r="R10" s="11">
        <f t="shared" si="2"/>
        <v>180000</v>
      </c>
      <c r="S10" s="12"/>
    </row>
    <row r="11">
      <c r="H11" s="4"/>
      <c r="N11" s="8">
        <v>5.0</v>
      </c>
      <c r="O11" s="9">
        <v>46143.0</v>
      </c>
      <c r="P11" s="10">
        <f t="shared" si="1"/>
        <v>600000</v>
      </c>
      <c r="Q11" s="11">
        <f>K88</f>
        <v>590000</v>
      </c>
      <c r="R11" s="11">
        <f t="shared" si="2"/>
        <v>-10000</v>
      </c>
      <c r="S11" s="12"/>
    </row>
    <row r="12">
      <c r="H12" s="4"/>
      <c r="N12" s="8">
        <v>6.0</v>
      </c>
      <c r="O12" s="9">
        <v>46174.0</v>
      </c>
      <c r="P12" s="10">
        <f t="shared" si="1"/>
        <v>600000</v>
      </c>
      <c r="Q12" s="11">
        <f>Q89</f>
        <v>870000</v>
      </c>
      <c r="R12" s="11">
        <f t="shared" si="2"/>
        <v>270000</v>
      </c>
      <c r="S12" s="12"/>
    </row>
    <row r="13">
      <c r="H13" s="4"/>
      <c r="N13" s="8">
        <v>7.0</v>
      </c>
      <c r="O13" s="9">
        <v>46204.0</v>
      </c>
      <c r="P13" s="10">
        <f t="shared" si="1"/>
        <v>600000</v>
      </c>
      <c r="Q13" s="11">
        <f>E122</f>
        <v>1750000</v>
      </c>
      <c r="R13" s="11">
        <f t="shared" si="2"/>
        <v>1150000</v>
      </c>
      <c r="S13" s="12"/>
    </row>
    <row r="14">
      <c r="H14" s="4"/>
      <c r="N14" s="8">
        <v>8.0</v>
      </c>
      <c r="O14" s="9">
        <v>46235.0</v>
      </c>
      <c r="P14" s="10">
        <f t="shared" si="1"/>
        <v>600000</v>
      </c>
      <c r="Q14" s="11">
        <f>K120</f>
        <v>950000</v>
      </c>
      <c r="R14" s="11">
        <f t="shared" si="2"/>
        <v>350000</v>
      </c>
      <c r="S14" s="12"/>
    </row>
    <row r="15">
      <c r="H15" s="4"/>
      <c r="N15" s="8">
        <v>9.0</v>
      </c>
      <c r="O15" s="9">
        <v>46266.0</v>
      </c>
      <c r="P15" s="10">
        <f t="shared" si="1"/>
        <v>600000</v>
      </c>
      <c r="Q15" s="11">
        <f>Q121</f>
        <v>0</v>
      </c>
      <c r="R15" s="11">
        <f t="shared" si="2"/>
        <v>-600000</v>
      </c>
      <c r="S15" s="12"/>
    </row>
    <row r="16">
      <c r="H16" s="4"/>
      <c r="N16" s="8">
        <v>10.0</v>
      </c>
      <c r="O16" s="9">
        <v>46296.0</v>
      </c>
      <c r="P16" s="10">
        <f t="shared" si="1"/>
        <v>600000</v>
      </c>
      <c r="Q16" s="11">
        <f>E154</f>
        <v>0</v>
      </c>
      <c r="R16" s="11">
        <f t="shared" si="2"/>
        <v>-600000</v>
      </c>
      <c r="S16" s="12"/>
    </row>
    <row r="17">
      <c r="N17" s="8">
        <v>11.0</v>
      </c>
      <c r="O17" s="9">
        <v>46327.0</v>
      </c>
      <c r="P17" s="10">
        <f t="shared" si="1"/>
        <v>600000</v>
      </c>
      <c r="Q17" s="11">
        <f>K153</f>
        <v>0</v>
      </c>
      <c r="R17" s="11">
        <f t="shared" si="2"/>
        <v>-600000</v>
      </c>
      <c r="S17" s="12"/>
    </row>
    <row r="18">
      <c r="N18" s="8">
        <v>12.0</v>
      </c>
      <c r="O18" s="9">
        <v>46357.0</v>
      </c>
      <c r="P18" s="10">
        <f t="shared" si="1"/>
        <v>600000</v>
      </c>
      <c r="Q18" s="11">
        <f>Q155</f>
        <v>0</v>
      </c>
      <c r="R18" s="11">
        <f t="shared" si="2"/>
        <v>-600000</v>
      </c>
      <c r="S18" s="12"/>
    </row>
    <row r="19">
      <c r="N19" s="13" t="s">
        <v>12</v>
      </c>
      <c r="P19" s="14">
        <f>sum(P7:P18)</f>
        <v>7200000</v>
      </c>
      <c r="Q19" s="15">
        <f t="shared" ref="Q19:R19" si="3">SUM(Q7:Q18)</f>
        <v>7450000</v>
      </c>
      <c r="R19" s="14">
        <f t="shared" si="3"/>
        <v>250000</v>
      </c>
      <c r="S19" s="16"/>
    </row>
    <row r="24">
      <c r="B24" s="17" t="s">
        <v>13</v>
      </c>
    </row>
    <row r="28">
      <c r="B28" s="18" t="s">
        <v>14</v>
      </c>
      <c r="H28" s="18" t="s">
        <v>15</v>
      </c>
      <c r="N28" s="18" t="s">
        <v>16</v>
      </c>
    </row>
    <row r="30">
      <c r="B30" s="19" t="s">
        <v>6</v>
      </c>
      <c r="C30" s="13" t="s">
        <v>17</v>
      </c>
      <c r="D30" s="13" t="s">
        <v>11</v>
      </c>
      <c r="E30" s="13" t="s">
        <v>9</v>
      </c>
      <c r="F30" s="13" t="s">
        <v>10</v>
      </c>
      <c r="H30" s="13" t="s">
        <v>6</v>
      </c>
      <c r="I30" s="13" t="s">
        <v>17</v>
      </c>
      <c r="J30" s="13" t="s">
        <v>11</v>
      </c>
      <c r="K30" s="13" t="s">
        <v>9</v>
      </c>
      <c r="L30" s="13" t="s">
        <v>10</v>
      </c>
      <c r="N30" s="13" t="s">
        <v>6</v>
      </c>
      <c r="O30" s="13" t="s">
        <v>17</v>
      </c>
      <c r="P30" s="13" t="s">
        <v>11</v>
      </c>
      <c r="Q30" s="13" t="s">
        <v>9</v>
      </c>
      <c r="R30" s="13" t="s">
        <v>10</v>
      </c>
    </row>
    <row r="31">
      <c r="B31" s="8">
        <v>1.0</v>
      </c>
      <c r="C31" s="20">
        <v>46023.0</v>
      </c>
      <c r="D31" s="12" t="s">
        <v>18</v>
      </c>
      <c r="E31" s="21">
        <v>0.0</v>
      </c>
      <c r="F31" s="21">
        <f>(E31)</f>
        <v>0</v>
      </c>
      <c r="H31" s="8">
        <v>1.0</v>
      </c>
      <c r="I31" s="20">
        <v>46055.0</v>
      </c>
      <c r="J31" s="12" t="s">
        <v>19</v>
      </c>
      <c r="K31" s="21">
        <v>50000.0</v>
      </c>
      <c r="L31" s="21">
        <f>K31</f>
        <v>50000</v>
      </c>
      <c r="N31" s="8">
        <v>1.0</v>
      </c>
      <c r="O31" s="20">
        <v>46083.0</v>
      </c>
      <c r="P31" s="12" t="s">
        <v>19</v>
      </c>
      <c r="Q31" s="21">
        <v>60000.0</v>
      </c>
      <c r="R31" s="21">
        <f>Q31</f>
        <v>60000</v>
      </c>
    </row>
    <row r="32">
      <c r="B32" s="8">
        <v>2.0</v>
      </c>
      <c r="C32" s="20">
        <v>46024.0</v>
      </c>
      <c r="D32" s="12" t="s">
        <v>20</v>
      </c>
      <c r="E32" s="21">
        <v>0.0</v>
      </c>
      <c r="F32" s="21">
        <f>sum(F31+E32)</f>
        <v>0</v>
      </c>
      <c r="H32" s="8">
        <v>2.0</v>
      </c>
      <c r="I32" s="20">
        <v>46056.0</v>
      </c>
      <c r="J32" s="12" t="s">
        <v>21</v>
      </c>
      <c r="K32" s="21">
        <v>50000.0</v>
      </c>
      <c r="L32" s="21">
        <f t="shared" ref="L32:L35" si="4">sum(L31+K32)</f>
        <v>100000</v>
      </c>
      <c r="N32" s="8">
        <v>2.0</v>
      </c>
      <c r="O32" s="20">
        <v>46084.0</v>
      </c>
      <c r="P32" s="12" t="s">
        <v>21</v>
      </c>
      <c r="Q32" s="21">
        <v>60000.0</v>
      </c>
      <c r="R32" s="21">
        <f t="shared" ref="R32:R35" si="5">sum(R31+Q32)</f>
        <v>120000</v>
      </c>
    </row>
    <row r="33">
      <c r="B33" s="12"/>
      <c r="C33" s="20"/>
      <c r="D33" s="12"/>
      <c r="E33" s="21"/>
      <c r="F33" s="21"/>
      <c r="H33" s="8">
        <v>3.0</v>
      </c>
      <c r="I33" s="20">
        <v>46057.0</v>
      </c>
      <c r="J33" s="12" t="s">
        <v>22</v>
      </c>
      <c r="K33" s="21">
        <v>50000.0</v>
      </c>
      <c r="L33" s="21">
        <f t="shared" si="4"/>
        <v>150000</v>
      </c>
      <c r="N33" s="8">
        <v>3.0</v>
      </c>
      <c r="O33" s="20">
        <v>46085.0</v>
      </c>
      <c r="P33" s="12" t="s">
        <v>22</v>
      </c>
      <c r="Q33" s="21">
        <v>60000.0</v>
      </c>
      <c r="R33" s="21">
        <f t="shared" si="5"/>
        <v>180000</v>
      </c>
    </row>
    <row r="34">
      <c r="B34" s="8">
        <v>3.0</v>
      </c>
      <c r="C34" s="20">
        <v>46027.0</v>
      </c>
      <c r="D34" s="12" t="s">
        <v>19</v>
      </c>
      <c r="E34" s="21">
        <v>0.0</v>
      </c>
      <c r="F34" s="21">
        <f>sum(F32+E34)</f>
        <v>0</v>
      </c>
      <c r="H34" s="8">
        <v>4.0</v>
      </c>
      <c r="I34" s="20">
        <v>46058.0</v>
      </c>
      <c r="J34" s="12" t="s">
        <v>18</v>
      </c>
      <c r="K34" s="21">
        <v>60000.0</v>
      </c>
      <c r="L34" s="21">
        <f t="shared" si="4"/>
        <v>210000</v>
      </c>
      <c r="N34" s="8">
        <v>4.0</v>
      </c>
      <c r="O34" s="20">
        <v>46086.0</v>
      </c>
      <c r="P34" s="12" t="s">
        <v>18</v>
      </c>
      <c r="Q34" s="21">
        <v>50000.0</v>
      </c>
      <c r="R34" s="21">
        <f t="shared" si="5"/>
        <v>230000</v>
      </c>
    </row>
    <row r="35">
      <c r="B35" s="8">
        <v>4.0</v>
      </c>
      <c r="C35" s="20">
        <v>46028.0</v>
      </c>
      <c r="D35" s="12" t="s">
        <v>21</v>
      </c>
      <c r="E35" s="21">
        <v>30000.0</v>
      </c>
      <c r="F35" s="21">
        <f t="shared" ref="F35:F38" si="6">sum(F34+E35)</f>
        <v>30000</v>
      </c>
      <c r="H35" s="8">
        <v>5.0</v>
      </c>
      <c r="I35" s="20">
        <v>46059.0</v>
      </c>
      <c r="J35" s="12" t="s">
        <v>20</v>
      </c>
      <c r="K35" s="21">
        <v>60000.0</v>
      </c>
      <c r="L35" s="21">
        <f t="shared" si="4"/>
        <v>270000</v>
      </c>
      <c r="N35" s="8">
        <v>5.0</v>
      </c>
      <c r="O35" s="20">
        <v>46087.0</v>
      </c>
      <c r="P35" s="12" t="s">
        <v>20</v>
      </c>
      <c r="Q35" s="21">
        <v>60000.0</v>
      </c>
      <c r="R35" s="21">
        <f t="shared" si="5"/>
        <v>290000</v>
      </c>
    </row>
    <row r="36">
      <c r="B36" s="8">
        <v>5.0</v>
      </c>
      <c r="C36" s="20">
        <v>46029.0</v>
      </c>
      <c r="D36" s="12" t="s">
        <v>22</v>
      </c>
      <c r="E36" s="21">
        <v>30000.0</v>
      </c>
      <c r="F36" s="21">
        <f t="shared" si="6"/>
        <v>60000</v>
      </c>
      <c r="H36" s="8"/>
      <c r="J36" s="12"/>
      <c r="K36" s="21"/>
      <c r="L36" s="21"/>
      <c r="N36" s="8"/>
      <c r="P36" s="12"/>
      <c r="Q36" s="21"/>
      <c r="R36" s="21"/>
    </row>
    <row r="37">
      <c r="B37" s="8">
        <v>6.0</v>
      </c>
      <c r="C37" s="20">
        <v>46030.0</v>
      </c>
      <c r="D37" s="12" t="s">
        <v>18</v>
      </c>
      <c r="E37" s="21">
        <v>30000.0</v>
      </c>
      <c r="F37" s="21">
        <f t="shared" si="6"/>
        <v>90000</v>
      </c>
      <c r="H37" s="8">
        <v>6.0</v>
      </c>
      <c r="I37" s="20">
        <v>46062.0</v>
      </c>
      <c r="J37" s="22" t="s">
        <v>19</v>
      </c>
      <c r="K37" s="21">
        <v>50000.0</v>
      </c>
      <c r="L37" s="21">
        <f>sum(L35+K37)</f>
        <v>320000</v>
      </c>
      <c r="N37" s="8">
        <v>6.0</v>
      </c>
      <c r="O37" s="20">
        <v>46090.0</v>
      </c>
      <c r="P37" s="22" t="s">
        <v>19</v>
      </c>
      <c r="Q37" s="21">
        <v>60000.0</v>
      </c>
      <c r="R37" s="21">
        <f>sum(R35+Q37)</f>
        <v>350000</v>
      </c>
    </row>
    <row r="38">
      <c r="B38" s="8">
        <v>7.0</v>
      </c>
      <c r="C38" s="20">
        <v>46031.0</v>
      </c>
      <c r="D38" s="12" t="s">
        <v>20</v>
      </c>
      <c r="E38" s="21">
        <v>30000.0</v>
      </c>
      <c r="F38" s="21">
        <f t="shared" si="6"/>
        <v>120000</v>
      </c>
      <c r="H38" s="8">
        <v>7.0</v>
      </c>
      <c r="I38" s="20">
        <v>46063.0</v>
      </c>
      <c r="J38" s="22" t="s">
        <v>21</v>
      </c>
      <c r="K38" s="21">
        <v>50000.0</v>
      </c>
      <c r="L38" s="21">
        <f t="shared" ref="L38:L41" si="7">sum(L37+K38)</f>
        <v>370000</v>
      </c>
      <c r="N38" s="8">
        <v>7.0</v>
      </c>
      <c r="O38" s="20">
        <v>46091.0</v>
      </c>
      <c r="P38" s="22" t="s">
        <v>21</v>
      </c>
      <c r="Q38" s="21">
        <v>50000.0</v>
      </c>
      <c r="R38" s="21">
        <f t="shared" ref="R38:R41" si="8">sum(R37+Q38)</f>
        <v>400000</v>
      </c>
    </row>
    <row r="39">
      <c r="B39" s="12"/>
      <c r="E39" s="21"/>
      <c r="F39" s="21"/>
      <c r="H39" s="8">
        <v>8.0</v>
      </c>
      <c r="I39" s="20">
        <v>46064.0</v>
      </c>
      <c r="J39" s="22" t="s">
        <v>22</v>
      </c>
      <c r="K39" s="21">
        <v>60000.0</v>
      </c>
      <c r="L39" s="21">
        <f t="shared" si="7"/>
        <v>430000</v>
      </c>
      <c r="N39" s="8">
        <v>8.0</v>
      </c>
      <c r="O39" s="20">
        <v>46092.0</v>
      </c>
      <c r="P39" s="22" t="s">
        <v>22</v>
      </c>
      <c r="Q39" s="21">
        <v>40000.0</v>
      </c>
      <c r="R39" s="21">
        <f t="shared" si="8"/>
        <v>440000</v>
      </c>
    </row>
    <row r="40">
      <c r="B40" s="8">
        <v>8.0</v>
      </c>
      <c r="C40" s="20">
        <v>46034.0</v>
      </c>
      <c r="D40" s="12" t="s">
        <v>19</v>
      </c>
      <c r="E40" s="21">
        <v>50000.0</v>
      </c>
      <c r="F40" s="21">
        <f>sum(F38+E40)</f>
        <v>170000</v>
      </c>
      <c r="H40" s="8">
        <v>9.0</v>
      </c>
      <c r="I40" s="20">
        <v>46065.0</v>
      </c>
      <c r="J40" s="22" t="s">
        <v>18</v>
      </c>
      <c r="K40" s="21">
        <v>60000.0</v>
      </c>
      <c r="L40" s="21">
        <f t="shared" si="7"/>
        <v>490000</v>
      </c>
      <c r="N40" s="8">
        <v>9.0</v>
      </c>
      <c r="O40" s="20">
        <v>46093.0</v>
      </c>
      <c r="P40" s="22" t="s">
        <v>18</v>
      </c>
      <c r="Q40" s="21">
        <v>40000.0</v>
      </c>
      <c r="R40" s="21">
        <f t="shared" si="8"/>
        <v>480000</v>
      </c>
    </row>
    <row r="41">
      <c r="B41" s="8">
        <v>9.0</v>
      </c>
      <c r="C41" s="20">
        <v>46035.0</v>
      </c>
      <c r="D41" s="12" t="s">
        <v>21</v>
      </c>
      <c r="E41" s="21">
        <v>60000.0</v>
      </c>
      <c r="F41" s="21">
        <f t="shared" ref="F41:F44" si="9">sum(F40+E41)</f>
        <v>230000</v>
      </c>
      <c r="H41" s="8">
        <v>10.0</v>
      </c>
      <c r="I41" s="20">
        <v>46066.0</v>
      </c>
      <c r="J41" s="22" t="s">
        <v>20</v>
      </c>
      <c r="K41" s="21">
        <v>70000.0</v>
      </c>
      <c r="L41" s="21">
        <f t="shared" si="7"/>
        <v>560000</v>
      </c>
      <c r="N41" s="8">
        <v>10.0</v>
      </c>
      <c r="O41" s="20">
        <v>46094.0</v>
      </c>
      <c r="P41" s="22" t="s">
        <v>20</v>
      </c>
      <c r="Q41" s="21">
        <v>30000.0</v>
      </c>
      <c r="R41" s="21">
        <f t="shared" si="8"/>
        <v>510000</v>
      </c>
    </row>
    <row r="42">
      <c r="B42" s="8">
        <v>10.0</v>
      </c>
      <c r="C42" s="20">
        <v>46036.0</v>
      </c>
      <c r="D42" s="12" t="s">
        <v>22</v>
      </c>
      <c r="E42" s="21">
        <v>50000.0</v>
      </c>
      <c r="F42" s="21">
        <f t="shared" si="9"/>
        <v>280000</v>
      </c>
      <c r="H42" s="8"/>
      <c r="J42" s="12"/>
      <c r="K42" s="21"/>
      <c r="L42" s="21"/>
      <c r="N42" s="8"/>
      <c r="P42" s="12"/>
      <c r="Q42" s="21"/>
      <c r="R42" s="21"/>
    </row>
    <row r="43">
      <c r="B43" s="8">
        <v>11.0</v>
      </c>
      <c r="C43" s="20">
        <v>46037.0</v>
      </c>
      <c r="D43" s="12" t="s">
        <v>18</v>
      </c>
      <c r="E43" s="21">
        <v>60000.0</v>
      </c>
      <c r="F43" s="21">
        <f t="shared" si="9"/>
        <v>340000</v>
      </c>
      <c r="H43" s="8">
        <v>11.0</v>
      </c>
      <c r="I43" s="20">
        <v>46069.0</v>
      </c>
      <c r="J43" s="22" t="s">
        <v>19</v>
      </c>
      <c r="K43" s="21">
        <v>0.0</v>
      </c>
      <c r="L43" s="21">
        <f>sum(L41+K43)</f>
        <v>560000</v>
      </c>
      <c r="N43" s="8">
        <v>11.0</v>
      </c>
      <c r="O43" s="20">
        <v>46097.0</v>
      </c>
      <c r="P43" s="22" t="s">
        <v>19</v>
      </c>
      <c r="Q43" s="21">
        <v>0.0</v>
      </c>
      <c r="R43" s="21">
        <f>sum(R41+Q43)</f>
        <v>510000</v>
      </c>
    </row>
    <row r="44">
      <c r="B44" s="8">
        <v>12.0</v>
      </c>
      <c r="C44" s="20">
        <v>46038.0</v>
      </c>
      <c r="D44" s="12" t="s">
        <v>20</v>
      </c>
      <c r="E44" s="21">
        <v>0.0</v>
      </c>
      <c r="F44" s="21">
        <f t="shared" si="9"/>
        <v>340000</v>
      </c>
      <c r="H44" s="8">
        <v>12.0</v>
      </c>
      <c r="I44" s="20">
        <v>46070.0</v>
      </c>
      <c r="J44" s="22" t="s">
        <v>21</v>
      </c>
      <c r="K44" s="21">
        <v>0.0</v>
      </c>
      <c r="L44" s="21">
        <f t="shared" ref="L44:L47" si="10">sum(L43+K44)</f>
        <v>560000</v>
      </c>
      <c r="N44" s="8">
        <v>12.0</v>
      </c>
      <c r="O44" s="20">
        <v>46098.0</v>
      </c>
      <c r="P44" s="22" t="s">
        <v>21</v>
      </c>
      <c r="Q44" s="21">
        <v>0.0</v>
      </c>
      <c r="R44" s="21">
        <f t="shared" ref="R44:R47" si="11">sum(R43+Q44)</f>
        <v>510000</v>
      </c>
    </row>
    <row r="45">
      <c r="B45" s="12"/>
      <c r="E45" s="21"/>
      <c r="F45" s="21"/>
      <c r="H45" s="8">
        <v>13.0</v>
      </c>
      <c r="I45" s="20">
        <v>46071.0</v>
      </c>
      <c r="J45" s="22" t="s">
        <v>22</v>
      </c>
      <c r="K45" s="21">
        <v>100000.0</v>
      </c>
      <c r="L45" s="21">
        <f t="shared" si="10"/>
        <v>660000</v>
      </c>
      <c r="N45" s="8">
        <v>13.0</v>
      </c>
      <c r="O45" s="20">
        <v>46099.0</v>
      </c>
      <c r="P45" s="22" t="s">
        <v>22</v>
      </c>
      <c r="Q45" s="21">
        <v>0.0</v>
      </c>
      <c r="R45" s="21">
        <f t="shared" si="11"/>
        <v>510000</v>
      </c>
    </row>
    <row r="46">
      <c r="B46" s="8">
        <v>13.0</v>
      </c>
      <c r="C46" s="20">
        <v>46041.0</v>
      </c>
      <c r="D46" s="12" t="s">
        <v>19</v>
      </c>
      <c r="E46" s="21">
        <v>50000.0</v>
      </c>
      <c r="F46" s="21">
        <f>sum(F44+E46)</f>
        <v>390000</v>
      </c>
      <c r="H46" s="8">
        <v>14.0</v>
      </c>
      <c r="I46" s="20">
        <v>46072.0</v>
      </c>
      <c r="J46" s="22" t="s">
        <v>18</v>
      </c>
      <c r="K46" s="21">
        <v>50000.0</v>
      </c>
      <c r="L46" s="21">
        <f t="shared" si="10"/>
        <v>710000</v>
      </c>
      <c r="N46" s="8">
        <v>14.0</v>
      </c>
      <c r="O46" s="20">
        <v>46100.0</v>
      </c>
      <c r="P46" s="22" t="s">
        <v>18</v>
      </c>
      <c r="Q46" s="21">
        <v>0.0</v>
      </c>
      <c r="R46" s="21">
        <f t="shared" si="11"/>
        <v>510000</v>
      </c>
    </row>
    <row r="47">
      <c r="B47" s="8">
        <v>14.0</v>
      </c>
      <c r="C47" s="20">
        <v>46042.0</v>
      </c>
      <c r="D47" s="12" t="s">
        <v>21</v>
      </c>
      <c r="E47" s="21">
        <v>50000.0</v>
      </c>
      <c r="F47" s="21">
        <f t="shared" ref="F47:F50" si="12">sum(F46+E47)</f>
        <v>440000</v>
      </c>
      <c r="H47" s="8">
        <v>15.0</v>
      </c>
      <c r="I47" s="20">
        <v>46073.0</v>
      </c>
      <c r="J47" s="22" t="s">
        <v>20</v>
      </c>
      <c r="K47" s="21">
        <v>50000.0</v>
      </c>
      <c r="L47" s="21">
        <f t="shared" si="10"/>
        <v>760000</v>
      </c>
      <c r="N47" s="8">
        <v>15.0</v>
      </c>
      <c r="O47" s="20">
        <v>46101.0</v>
      </c>
      <c r="P47" s="22" t="s">
        <v>20</v>
      </c>
      <c r="Q47" s="21">
        <v>0.0</v>
      </c>
      <c r="R47" s="21">
        <f t="shared" si="11"/>
        <v>510000</v>
      </c>
    </row>
    <row r="48">
      <c r="B48" s="8">
        <v>15.0</v>
      </c>
      <c r="C48" s="20">
        <v>46043.0</v>
      </c>
      <c r="D48" s="12" t="s">
        <v>22</v>
      </c>
      <c r="E48" s="21">
        <v>50000.0</v>
      </c>
      <c r="F48" s="21">
        <f t="shared" si="12"/>
        <v>490000</v>
      </c>
      <c r="H48" s="8"/>
      <c r="J48" s="12"/>
      <c r="K48" s="21"/>
      <c r="L48" s="21"/>
      <c r="N48" s="8"/>
      <c r="P48" s="12"/>
      <c r="Q48" s="21"/>
      <c r="R48" s="21"/>
    </row>
    <row r="49">
      <c r="B49" s="8">
        <v>16.0</v>
      </c>
      <c r="C49" s="20">
        <v>46044.0</v>
      </c>
      <c r="D49" s="12" t="s">
        <v>18</v>
      </c>
      <c r="E49" s="21">
        <v>50000.0</v>
      </c>
      <c r="F49" s="21">
        <f t="shared" si="12"/>
        <v>540000</v>
      </c>
      <c r="H49" s="8">
        <v>16.0</v>
      </c>
      <c r="I49" s="20">
        <v>46076.0</v>
      </c>
      <c r="J49" s="22" t="s">
        <v>19</v>
      </c>
      <c r="K49" s="21">
        <v>50000.0</v>
      </c>
      <c r="L49" s="21">
        <f>sum(L47+K49)</f>
        <v>810000</v>
      </c>
      <c r="N49" s="8">
        <v>16.0</v>
      </c>
      <c r="O49" s="20">
        <v>46104.0</v>
      </c>
      <c r="P49" s="22" t="s">
        <v>19</v>
      </c>
      <c r="Q49" s="21">
        <v>0.0</v>
      </c>
      <c r="R49" s="21">
        <f>sum(R47+Q49)</f>
        <v>510000</v>
      </c>
    </row>
    <row r="50">
      <c r="B50" s="8">
        <v>17.0</v>
      </c>
      <c r="C50" s="20">
        <v>46045.0</v>
      </c>
      <c r="D50" s="12" t="s">
        <v>20</v>
      </c>
      <c r="E50" s="21">
        <v>50000.0</v>
      </c>
      <c r="F50" s="21">
        <f t="shared" si="12"/>
        <v>590000</v>
      </c>
      <c r="H50" s="8">
        <v>17.0</v>
      </c>
      <c r="I50" s="20">
        <v>46077.0</v>
      </c>
      <c r="J50" s="22" t="s">
        <v>21</v>
      </c>
      <c r="K50" s="21">
        <v>50000.0</v>
      </c>
      <c r="L50" s="21">
        <f t="shared" ref="L50:L53" si="13">sum(L49+K50)</f>
        <v>860000</v>
      </c>
      <c r="N50" s="8">
        <v>17.0</v>
      </c>
      <c r="O50" s="20">
        <v>46105.0</v>
      </c>
      <c r="P50" s="22" t="s">
        <v>21</v>
      </c>
      <c r="Q50" s="21">
        <v>0.0</v>
      </c>
      <c r="R50" s="21">
        <f t="shared" ref="R50:R53" si="14">sum(R49+Q50)</f>
        <v>510000</v>
      </c>
    </row>
    <row r="51">
      <c r="B51" s="12"/>
      <c r="E51" s="21"/>
      <c r="F51" s="21"/>
      <c r="H51" s="8">
        <v>18.0</v>
      </c>
      <c r="I51" s="20">
        <v>46078.0</v>
      </c>
      <c r="J51" s="22" t="s">
        <v>22</v>
      </c>
      <c r="K51" s="21">
        <v>50000.0</v>
      </c>
      <c r="L51" s="21">
        <f t="shared" si="13"/>
        <v>910000</v>
      </c>
      <c r="N51" s="8">
        <v>18.0</v>
      </c>
      <c r="O51" s="20">
        <v>46106.0</v>
      </c>
      <c r="P51" s="22" t="s">
        <v>22</v>
      </c>
      <c r="Q51" s="21">
        <v>0.0</v>
      </c>
      <c r="R51" s="21">
        <f t="shared" si="14"/>
        <v>510000</v>
      </c>
    </row>
    <row r="52">
      <c r="B52" s="8">
        <v>18.0</v>
      </c>
      <c r="C52" s="20">
        <v>46048.0</v>
      </c>
      <c r="D52" s="12" t="s">
        <v>19</v>
      </c>
      <c r="E52" s="21">
        <v>50000.0</v>
      </c>
      <c r="F52" s="21">
        <f>sum(F50+E52)</f>
        <v>640000</v>
      </c>
      <c r="H52" s="8">
        <v>19.0</v>
      </c>
      <c r="I52" s="20">
        <v>46079.0</v>
      </c>
      <c r="J52" s="22" t="s">
        <v>18</v>
      </c>
      <c r="K52" s="21">
        <v>50000.0</v>
      </c>
      <c r="L52" s="21">
        <f t="shared" si="13"/>
        <v>960000</v>
      </c>
      <c r="N52" s="8">
        <v>19.0</v>
      </c>
      <c r="O52" s="20">
        <v>46107.0</v>
      </c>
      <c r="P52" s="22" t="s">
        <v>18</v>
      </c>
      <c r="Q52" s="21">
        <v>0.0</v>
      </c>
      <c r="R52" s="21">
        <f t="shared" si="14"/>
        <v>510000</v>
      </c>
    </row>
    <row r="53">
      <c r="B53" s="8">
        <v>19.0</v>
      </c>
      <c r="C53" s="20">
        <v>46049.0</v>
      </c>
      <c r="D53" s="12" t="s">
        <v>21</v>
      </c>
      <c r="E53" s="21">
        <v>60000.0</v>
      </c>
      <c r="F53" s="21">
        <f t="shared" ref="F53:F56" si="15">sum(F52+E53)</f>
        <v>700000</v>
      </c>
      <c r="H53" s="8">
        <v>20.0</v>
      </c>
      <c r="I53" s="20">
        <v>46080.0</v>
      </c>
      <c r="J53" s="22" t="s">
        <v>20</v>
      </c>
      <c r="K53" s="21">
        <v>50000.0</v>
      </c>
      <c r="L53" s="21">
        <f t="shared" si="13"/>
        <v>1010000</v>
      </c>
      <c r="N53" s="8">
        <v>20.0</v>
      </c>
      <c r="O53" s="20">
        <v>46108.0</v>
      </c>
      <c r="P53" s="22" t="s">
        <v>20</v>
      </c>
      <c r="Q53" s="21">
        <v>0.0</v>
      </c>
      <c r="R53" s="21">
        <f t="shared" si="14"/>
        <v>510000</v>
      </c>
    </row>
    <row r="54">
      <c r="B54" s="8">
        <v>20.0</v>
      </c>
      <c r="C54" s="20">
        <v>46050.0</v>
      </c>
      <c r="D54" s="12" t="s">
        <v>22</v>
      </c>
      <c r="E54" s="21">
        <v>70000.0</v>
      </c>
      <c r="F54" s="21">
        <f t="shared" si="15"/>
        <v>770000</v>
      </c>
      <c r="H54" s="13" t="s">
        <v>23</v>
      </c>
      <c r="K54" s="23">
        <f>L53</f>
        <v>1010000</v>
      </c>
    </row>
    <row r="55">
      <c r="B55" s="8">
        <v>21.0</v>
      </c>
      <c r="C55" s="20">
        <v>46051.0</v>
      </c>
      <c r="D55" s="12" t="s">
        <v>18</v>
      </c>
      <c r="E55" s="21">
        <v>80000.0</v>
      </c>
      <c r="F55" s="21">
        <f t="shared" si="15"/>
        <v>850000</v>
      </c>
      <c r="N55" s="8">
        <v>21.0</v>
      </c>
      <c r="O55" s="20">
        <v>46111.0</v>
      </c>
      <c r="P55" s="24" t="s">
        <v>19</v>
      </c>
      <c r="Q55" s="21">
        <v>50000.0</v>
      </c>
      <c r="R55" s="25">
        <f>sum(R53+Q55)</f>
        <v>560000</v>
      </c>
    </row>
    <row r="56">
      <c r="B56" s="8">
        <v>22.0</v>
      </c>
      <c r="C56" s="20">
        <v>46052.0</v>
      </c>
      <c r="D56" s="12" t="s">
        <v>20</v>
      </c>
      <c r="E56" s="21">
        <v>50000.0</v>
      </c>
      <c r="F56" s="21">
        <f t="shared" si="15"/>
        <v>900000</v>
      </c>
      <c r="N56" s="8">
        <v>22.0</v>
      </c>
      <c r="O56" s="20">
        <v>46112.0</v>
      </c>
      <c r="P56" s="24" t="s">
        <v>21</v>
      </c>
      <c r="Q56" s="21">
        <v>40000.0</v>
      </c>
      <c r="R56" s="25">
        <f>sum(R55+Q56)</f>
        <v>600000</v>
      </c>
    </row>
    <row r="57">
      <c r="B57" s="13" t="s">
        <v>24</v>
      </c>
      <c r="E57" s="23">
        <f>F56</f>
        <v>900000</v>
      </c>
      <c r="N57" s="13" t="s">
        <v>25</v>
      </c>
      <c r="Q57" s="23">
        <f>R56</f>
        <v>600000</v>
      </c>
    </row>
    <row r="58">
      <c r="B58" s="12"/>
      <c r="E58" s="12"/>
      <c r="F58" s="12"/>
    </row>
    <row r="59">
      <c r="B59" s="12"/>
      <c r="E59" s="12"/>
      <c r="F59" s="12"/>
    </row>
    <row r="60">
      <c r="B60" s="18" t="s">
        <v>26</v>
      </c>
      <c r="H60" s="18" t="s">
        <v>27</v>
      </c>
      <c r="N60" s="18" t="s">
        <v>28</v>
      </c>
    </row>
    <row r="62">
      <c r="B62" s="26" t="s">
        <v>6</v>
      </c>
      <c r="C62" s="26" t="s">
        <v>17</v>
      </c>
      <c r="D62" s="26" t="s">
        <v>11</v>
      </c>
      <c r="E62" s="26" t="s">
        <v>9</v>
      </c>
      <c r="F62" s="26" t="s">
        <v>10</v>
      </c>
      <c r="H62" s="26" t="s">
        <v>6</v>
      </c>
      <c r="I62" s="26" t="s">
        <v>17</v>
      </c>
      <c r="J62" s="26" t="s">
        <v>11</v>
      </c>
      <c r="K62" s="26" t="s">
        <v>9</v>
      </c>
      <c r="L62" s="26" t="s">
        <v>10</v>
      </c>
      <c r="N62" s="26" t="s">
        <v>6</v>
      </c>
      <c r="O62" s="26" t="s">
        <v>17</v>
      </c>
      <c r="P62" s="26" t="s">
        <v>11</v>
      </c>
      <c r="Q62" s="26" t="s">
        <v>9</v>
      </c>
      <c r="R62" s="26" t="s">
        <v>10</v>
      </c>
    </row>
    <row r="63">
      <c r="B63" s="8">
        <v>1.0</v>
      </c>
      <c r="C63" s="20">
        <v>46113.0</v>
      </c>
      <c r="D63" s="12" t="s">
        <v>22</v>
      </c>
      <c r="E63" s="21">
        <v>40000.0</v>
      </c>
      <c r="F63" s="21">
        <f>(E63)</f>
        <v>40000</v>
      </c>
      <c r="H63" s="8">
        <v>1.0</v>
      </c>
      <c r="I63" s="20">
        <v>46143.0</v>
      </c>
      <c r="J63" s="12" t="s">
        <v>20</v>
      </c>
      <c r="K63" s="21">
        <v>0.0</v>
      </c>
      <c r="L63" s="21">
        <f>K63</f>
        <v>0</v>
      </c>
      <c r="N63" s="8">
        <v>1.0</v>
      </c>
      <c r="O63" s="20">
        <v>46174.0</v>
      </c>
      <c r="P63" s="22" t="s">
        <v>19</v>
      </c>
      <c r="Q63" s="21">
        <v>0.0</v>
      </c>
      <c r="R63" s="21">
        <f>(Q63)</f>
        <v>0</v>
      </c>
    </row>
    <row r="64">
      <c r="B64" s="8">
        <v>2.0</v>
      </c>
      <c r="C64" s="20">
        <v>46114.0</v>
      </c>
      <c r="D64" s="12" t="s">
        <v>18</v>
      </c>
      <c r="E64" s="21">
        <v>40000.0</v>
      </c>
      <c r="F64" s="21">
        <f t="shared" ref="F64:F65" si="16">sum(F63+E64)</f>
        <v>80000</v>
      </c>
      <c r="H64" s="8"/>
      <c r="I64" s="20"/>
      <c r="J64" s="12"/>
      <c r="K64" s="21"/>
      <c r="L64" s="21"/>
      <c r="N64" s="8">
        <v>2.0</v>
      </c>
      <c r="O64" s="20">
        <v>46175.0</v>
      </c>
      <c r="P64" s="22" t="s">
        <v>21</v>
      </c>
      <c r="Q64" s="21">
        <v>30000.0</v>
      </c>
      <c r="R64" s="21">
        <f t="shared" ref="R64:R67" si="17">sum(R63+Q64)</f>
        <v>30000</v>
      </c>
    </row>
    <row r="65">
      <c r="B65" s="8">
        <v>3.0</v>
      </c>
      <c r="C65" s="20">
        <v>46115.0</v>
      </c>
      <c r="D65" s="12" t="s">
        <v>20</v>
      </c>
      <c r="E65" s="21">
        <v>0.0</v>
      </c>
      <c r="F65" s="21">
        <f t="shared" si="16"/>
        <v>80000</v>
      </c>
      <c r="H65" s="8">
        <v>2.0</v>
      </c>
      <c r="I65" s="20">
        <v>46146.0</v>
      </c>
      <c r="J65" s="22" t="s">
        <v>19</v>
      </c>
      <c r="K65" s="21">
        <v>30000.0</v>
      </c>
      <c r="L65" s="21">
        <f>sum(L63+K65)</f>
        <v>30000</v>
      </c>
      <c r="N65" s="8">
        <v>3.0</v>
      </c>
      <c r="O65" s="20">
        <v>46176.0</v>
      </c>
      <c r="P65" s="22" t="s">
        <v>22</v>
      </c>
      <c r="Q65" s="21">
        <v>40000.0</v>
      </c>
      <c r="R65" s="21">
        <f t="shared" si="17"/>
        <v>70000</v>
      </c>
    </row>
    <row r="66">
      <c r="C66" s="20"/>
      <c r="E66" s="21"/>
      <c r="F66" s="21"/>
      <c r="H66" s="8">
        <v>3.0</v>
      </c>
      <c r="I66" s="20">
        <v>46147.0</v>
      </c>
      <c r="J66" s="22" t="s">
        <v>21</v>
      </c>
      <c r="K66" s="21">
        <v>50000.0</v>
      </c>
      <c r="L66" s="21">
        <f t="shared" ref="L66:L69" si="18">sum(L65+K66)</f>
        <v>80000</v>
      </c>
      <c r="N66" s="8">
        <v>4.0</v>
      </c>
      <c r="O66" s="20">
        <v>46177.0</v>
      </c>
      <c r="P66" s="22" t="s">
        <v>18</v>
      </c>
      <c r="Q66" s="21">
        <v>50000.0</v>
      </c>
      <c r="R66" s="21">
        <f t="shared" si="17"/>
        <v>120000</v>
      </c>
    </row>
    <row r="67">
      <c r="B67" s="8">
        <v>4.0</v>
      </c>
      <c r="C67" s="20">
        <v>46118.0</v>
      </c>
      <c r="D67" s="22" t="s">
        <v>19</v>
      </c>
      <c r="E67" s="21">
        <v>40000.0</v>
      </c>
      <c r="F67" s="21">
        <f>sum(F65+E67)</f>
        <v>120000</v>
      </c>
      <c r="H67" s="8">
        <v>4.0</v>
      </c>
      <c r="I67" s="20">
        <v>46148.0</v>
      </c>
      <c r="J67" s="22" t="s">
        <v>22</v>
      </c>
      <c r="K67" s="21">
        <v>30000.0</v>
      </c>
      <c r="L67" s="21">
        <f t="shared" si="18"/>
        <v>110000</v>
      </c>
      <c r="N67" s="8">
        <v>5.0</v>
      </c>
      <c r="O67" s="20">
        <v>46178.0</v>
      </c>
      <c r="P67" s="22" t="s">
        <v>20</v>
      </c>
      <c r="Q67" s="21">
        <v>60000.0</v>
      </c>
      <c r="R67" s="21">
        <f t="shared" si="17"/>
        <v>180000</v>
      </c>
    </row>
    <row r="68">
      <c r="B68" s="8">
        <v>5.0</v>
      </c>
      <c r="C68" s="20">
        <v>46119.0</v>
      </c>
      <c r="D68" s="22" t="s">
        <v>21</v>
      </c>
      <c r="E68" s="21">
        <v>30000.0</v>
      </c>
      <c r="F68" s="21">
        <f t="shared" ref="F68:F71" si="19">sum(F67+E68)</f>
        <v>150000</v>
      </c>
      <c r="H68" s="8">
        <v>5.0</v>
      </c>
      <c r="I68" s="20">
        <v>46149.0</v>
      </c>
      <c r="J68" s="22" t="s">
        <v>18</v>
      </c>
      <c r="K68" s="21">
        <v>30000.0</v>
      </c>
      <c r="L68" s="21">
        <f t="shared" si="18"/>
        <v>140000</v>
      </c>
      <c r="O68" s="20"/>
      <c r="Q68" s="21"/>
      <c r="R68" s="21"/>
    </row>
    <row r="69">
      <c r="B69" s="8">
        <v>6.0</v>
      </c>
      <c r="C69" s="20">
        <v>46120.0</v>
      </c>
      <c r="D69" s="22" t="s">
        <v>22</v>
      </c>
      <c r="E69" s="21">
        <v>30000.0</v>
      </c>
      <c r="F69" s="21">
        <f t="shared" si="19"/>
        <v>180000</v>
      </c>
      <c r="H69" s="8">
        <v>6.0</v>
      </c>
      <c r="I69" s="20">
        <v>46150.0</v>
      </c>
      <c r="J69" s="22" t="s">
        <v>20</v>
      </c>
      <c r="K69" s="21">
        <v>50000.0</v>
      </c>
      <c r="L69" s="21">
        <f t="shared" si="18"/>
        <v>190000</v>
      </c>
      <c r="N69" s="8">
        <v>6.0</v>
      </c>
      <c r="O69" s="20">
        <v>46181.0</v>
      </c>
      <c r="P69" s="22" t="s">
        <v>19</v>
      </c>
      <c r="Q69" s="21">
        <v>40000.0</v>
      </c>
      <c r="R69" s="21">
        <f>sum(R67+Q69)</f>
        <v>220000</v>
      </c>
    </row>
    <row r="70">
      <c r="B70" s="8">
        <v>7.0</v>
      </c>
      <c r="C70" s="20">
        <v>46121.0</v>
      </c>
      <c r="D70" s="22" t="s">
        <v>18</v>
      </c>
      <c r="E70" s="21">
        <v>40000.0</v>
      </c>
      <c r="F70" s="21">
        <f t="shared" si="19"/>
        <v>220000</v>
      </c>
      <c r="H70" s="8"/>
      <c r="K70" s="21"/>
      <c r="L70" s="21"/>
      <c r="N70" s="8">
        <v>7.0</v>
      </c>
      <c r="O70" s="20">
        <v>46182.0</v>
      </c>
      <c r="P70" s="22" t="s">
        <v>21</v>
      </c>
      <c r="Q70" s="21">
        <v>40000.0</v>
      </c>
      <c r="R70" s="21">
        <f t="shared" ref="R70:R73" si="20">sum(R69+Q70)</f>
        <v>260000</v>
      </c>
    </row>
    <row r="71">
      <c r="B71" s="8">
        <v>8.0</v>
      </c>
      <c r="C71" s="20">
        <v>46122.0</v>
      </c>
      <c r="D71" s="22" t="s">
        <v>20</v>
      </c>
      <c r="E71" s="21">
        <v>30000.0</v>
      </c>
      <c r="F71" s="21">
        <f t="shared" si="19"/>
        <v>250000</v>
      </c>
      <c r="H71" s="8">
        <v>7.0</v>
      </c>
      <c r="I71" s="20">
        <v>46153.0</v>
      </c>
      <c r="J71" s="22" t="s">
        <v>19</v>
      </c>
      <c r="K71" s="21">
        <v>30000.0</v>
      </c>
      <c r="L71" s="21">
        <f>sum(L69+K71)</f>
        <v>220000</v>
      </c>
      <c r="N71" s="8">
        <v>8.0</v>
      </c>
      <c r="O71" s="20">
        <v>46183.0</v>
      </c>
      <c r="P71" s="22" t="s">
        <v>22</v>
      </c>
      <c r="Q71" s="21">
        <v>60000.0</v>
      </c>
      <c r="R71" s="21">
        <f t="shared" si="20"/>
        <v>320000</v>
      </c>
    </row>
    <row r="72">
      <c r="B72" s="8"/>
      <c r="E72" s="21"/>
      <c r="F72" s="21"/>
      <c r="H72" s="8">
        <v>8.0</v>
      </c>
      <c r="I72" s="20">
        <v>46154.0</v>
      </c>
      <c r="J72" s="22" t="s">
        <v>21</v>
      </c>
      <c r="K72" s="21">
        <v>30000.0</v>
      </c>
      <c r="L72" s="21">
        <f t="shared" ref="L72:L75" si="21">sum(L71+K72)</f>
        <v>250000</v>
      </c>
      <c r="N72" s="8">
        <v>9.0</v>
      </c>
      <c r="O72" s="20">
        <v>46184.0</v>
      </c>
      <c r="P72" s="22" t="s">
        <v>18</v>
      </c>
      <c r="Q72" s="21">
        <v>30000.0</v>
      </c>
      <c r="R72" s="21">
        <f t="shared" si="20"/>
        <v>350000</v>
      </c>
    </row>
    <row r="73">
      <c r="B73" s="8">
        <v>9.0</v>
      </c>
      <c r="C73" s="20">
        <v>46125.0</v>
      </c>
      <c r="D73" s="22" t="s">
        <v>19</v>
      </c>
      <c r="E73" s="21">
        <v>40000.0</v>
      </c>
      <c r="F73" s="21">
        <f>sum(F71+E73)</f>
        <v>290000</v>
      </c>
      <c r="H73" s="8">
        <v>9.0</v>
      </c>
      <c r="I73" s="20">
        <v>46155.0</v>
      </c>
      <c r="J73" s="22" t="s">
        <v>22</v>
      </c>
      <c r="K73" s="21">
        <v>90000.0</v>
      </c>
      <c r="L73" s="21">
        <f t="shared" si="21"/>
        <v>340000</v>
      </c>
      <c r="N73" s="8">
        <v>10.0</v>
      </c>
      <c r="O73" s="20">
        <v>46185.0</v>
      </c>
      <c r="P73" s="22" t="s">
        <v>20</v>
      </c>
      <c r="Q73" s="21">
        <v>30000.0</v>
      </c>
      <c r="R73" s="21">
        <f t="shared" si="20"/>
        <v>380000</v>
      </c>
    </row>
    <row r="74">
      <c r="B74" s="8">
        <v>10.0</v>
      </c>
      <c r="C74" s="20">
        <v>46126.0</v>
      </c>
      <c r="D74" s="22" t="s">
        <v>21</v>
      </c>
      <c r="E74" s="21">
        <v>30000.0</v>
      </c>
      <c r="F74" s="21">
        <f t="shared" ref="F74:F77" si="22">sum(F73+E74)</f>
        <v>320000</v>
      </c>
      <c r="H74" s="8">
        <v>10.0</v>
      </c>
      <c r="I74" s="20">
        <v>46156.0</v>
      </c>
      <c r="J74" s="22" t="s">
        <v>18</v>
      </c>
      <c r="K74" s="21">
        <v>0.0</v>
      </c>
      <c r="L74" s="21">
        <f t="shared" si="21"/>
        <v>340000</v>
      </c>
      <c r="Q74" s="21"/>
      <c r="R74" s="21"/>
    </row>
    <row r="75">
      <c r="B75" s="8">
        <v>11.0</v>
      </c>
      <c r="C75" s="20">
        <v>46127.0</v>
      </c>
      <c r="D75" s="22" t="s">
        <v>22</v>
      </c>
      <c r="E75" s="21">
        <v>50000.0</v>
      </c>
      <c r="F75" s="21">
        <f t="shared" si="22"/>
        <v>370000</v>
      </c>
      <c r="H75" s="8">
        <v>11.0</v>
      </c>
      <c r="I75" s="20">
        <v>46157.0</v>
      </c>
      <c r="J75" s="22" t="s">
        <v>20</v>
      </c>
      <c r="K75" s="21">
        <v>0.0</v>
      </c>
      <c r="L75" s="21">
        <f t="shared" si="21"/>
        <v>340000</v>
      </c>
      <c r="N75" s="8">
        <v>11.0</v>
      </c>
      <c r="O75" s="20">
        <v>46188.0</v>
      </c>
      <c r="P75" s="22" t="s">
        <v>19</v>
      </c>
      <c r="Q75" s="21">
        <v>30000.0</v>
      </c>
      <c r="R75" s="21">
        <f>sum(R73+Q75)</f>
        <v>410000</v>
      </c>
    </row>
    <row r="76">
      <c r="B76" s="8">
        <v>12.0</v>
      </c>
      <c r="C76" s="20">
        <v>46128.0</v>
      </c>
      <c r="D76" s="22" t="s">
        <v>18</v>
      </c>
      <c r="E76" s="21">
        <v>50000.0</v>
      </c>
      <c r="F76" s="21">
        <f t="shared" si="22"/>
        <v>420000</v>
      </c>
      <c r="H76" s="8"/>
      <c r="K76" s="21"/>
      <c r="L76" s="21"/>
      <c r="N76" s="8">
        <v>12.0</v>
      </c>
      <c r="O76" s="20">
        <v>46189.0</v>
      </c>
      <c r="P76" s="22" t="s">
        <v>21</v>
      </c>
      <c r="Q76" s="21">
        <v>0.0</v>
      </c>
      <c r="R76" s="21">
        <f t="shared" ref="R76:R79" si="23">sum(R75+Q76)</f>
        <v>410000</v>
      </c>
    </row>
    <row r="77">
      <c r="B77" s="8">
        <v>13.0</v>
      </c>
      <c r="C77" s="20">
        <v>46129.0</v>
      </c>
      <c r="D77" s="22" t="s">
        <v>20</v>
      </c>
      <c r="E77" s="21">
        <v>30000.0</v>
      </c>
      <c r="F77" s="21">
        <f t="shared" si="22"/>
        <v>450000</v>
      </c>
      <c r="H77" s="8">
        <v>12.0</v>
      </c>
      <c r="I77" s="20">
        <v>46160.0</v>
      </c>
      <c r="J77" s="22" t="s">
        <v>19</v>
      </c>
      <c r="K77" s="21">
        <v>50000.0</v>
      </c>
      <c r="L77" s="21">
        <f>sum(L75+K77)</f>
        <v>390000</v>
      </c>
      <c r="N77" s="8">
        <v>13.0</v>
      </c>
      <c r="O77" s="20">
        <v>46190.0</v>
      </c>
      <c r="P77" s="22" t="s">
        <v>22</v>
      </c>
      <c r="Q77" s="21">
        <v>30000.0</v>
      </c>
      <c r="R77" s="21">
        <f t="shared" si="23"/>
        <v>440000</v>
      </c>
    </row>
    <row r="78">
      <c r="B78" s="8"/>
      <c r="E78" s="21"/>
      <c r="F78" s="21"/>
      <c r="H78" s="8">
        <v>13.0</v>
      </c>
      <c r="I78" s="20">
        <v>46161.0</v>
      </c>
      <c r="J78" s="22" t="s">
        <v>21</v>
      </c>
      <c r="K78" s="21">
        <v>30000.0</v>
      </c>
      <c r="L78" s="21">
        <f t="shared" ref="L78:L81" si="24">sum(L77+K78)</f>
        <v>420000</v>
      </c>
      <c r="N78" s="8">
        <v>14.0</v>
      </c>
      <c r="O78" s="20">
        <v>46191.0</v>
      </c>
      <c r="P78" s="22" t="s">
        <v>18</v>
      </c>
      <c r="Q78" s="21">
        <v>50000.0</v>
      </c>
      <c r="R78" s="21">
        <f t="shared" si="23"/>
        <v>490000</v>
      </c>
    </row>
    <row r="79">
      <c r="B79" s="8">
        <v>14.0</v>
      </c>
      <c r="C79" s="20">
        <v>46132.0</v>
      </c>
      <c r="D79" s="22" t="s">
        <v>19</v>
      </c>
      <c r="E79" s="21">
        <v>40000.0</v>
      </c>
      <c r="F79" s="21">
        <f>sum(F77+E79)</f>
        <v>490000</v>
      </c>
      <c r="H79" s="8">
        <v>14.0</v>
      </c>
      <c r="I79" s="20">
        <v>46162.0</v>
      </c>
      <c r="J79" s="22" t="s">
        <v>22</v>
      </c>
      <c r="K79" s="21">
        <v>30000.0</v>
      </c>
      <c r="L79" s="21">
        <f t="shared" si="24"/>
        <v>450000</v>
      </c>
      <c r="N79" s="8">
        <v>15.0</v>
      </c>
      <c r="O79" s="20">
        <v>46192.0</v>
      </c>
      <c r="P79" s="22" t="s">
        <v>20</v>
      </c>
      <c r="Q79" s="21">
        <v>50000.0</v>
      </c>
      <c r="R79" s="21">
        <f t="shared" si="23"/>
        <v>540000</v>
      </c>
    </row>
    <row r="80">
      <c r="B80" s="8">
        <v>15.0</v>
      </c>
      <c r="C80" s="20">
        <v>46133.0</v>
      </c>
      <c r="D80" s="22" t="s">
        <v>21</v>
      </c>
      <c r="E80" s="21">
        <v>40000.0</v>
      </c>
      <c r="F80" s="21">
        <f t="shared" ref="F80:F83" si="25">sum(F79+E80)</f>
        <v>530000</v>
      </c>
      <c r="H80" s="8">
        <v>15.0</v>
      </c>
      <c r="I80" s="20">
        <v>46163.0</v>
      </c>
      <c r="J80" s="22" t="s">
        <v>18</v>
      </c>
      <c r="K80" s="21">
        <v>30000.0</v>
      </c>
      <c r="L80" s="21">
        <f t="shared" si="24"/>
        <v>480000</v>
      </c>
      <c r="Q80" s="21"/>
      <c r="R80" s="21"/>
    </row>
    <row r="81">
      <c r="B81" s="8">
        <v>16.0</v>
      </c>
      <c r="C81" s="20">
        <v>46134.0</v>
      </c>
      <c r="D81" s="22" t="s">
        <v>22</v>
      </c>
      <c r="E81" s="21">
        <v>30000.0</v>
      </c>
      <c r="F81" s="21">
        <f t="shared" si="25"/>
        <v>560000</v>
      </c>
      <c r="H81" s="8">
        <v>16.0</v>
      </c>
      <c r="I81" s="20">
        <v>46164.0</v>
      </c>
      <c r="J81" s="22" t="s">
        <v>20</v>
      </c>
      <c r="K81" s="21">
        <v>30000.0</v>
      </c>
      <c r="L81" s="21">
        <f t="shared" si="24"/>
        <v>510000</v>
      </c>
      <c r="N81" s="8">
        <v>16.0</v>
      </c>
      <c r="O81" s="20">
        <v>46195.0</v>
      </c>
      <c r="P81" s="22" t="s">
        <v>19</v>
      </c>
      <c r="Q81" s="21">
        <v>50000.0</v>
      </c>
      <c r="R81" s="21">
        <f>sum(R79+Q81)</f>
        <v>590000</v>
      </c>
    </row>
    <row r="82">
      <c r="B82" s="8">
        <v>17.0</v>
      </c>
      <c r="C82" s="20">
        <v>46135.0</v>
      </c>
      <c r="D82" s="22" t="s">
        <v>18</v>
      </c>
      <c r="E82" s="21">
        <v>30000.0</v>
      </c>
      <c r="F82" s="21">
        <f t="shared" si="25"/>
        <v>590000</v>
      </c>
      <c r="H82" s="8"/>
      <c r="K82" s="21"/>
      <c r="L82" s="21"/>
      <c r="N82" s="8">
        <v>17.0</v>
      </c>
      <c r="O82" s="20">
        <v>46196.0</v>
      </c>
      <c r="P82" s="22" t="s">
        <v>21</v>
      </c>
      <c r="Q82" s="21">
        <v>60000.0</v>
      </c>
      <c r="R82" s="21">
        <f t="shared" ref="R82:R85" si="26">sum(R81+Q82)</f>
        <v>650000</v>
      </c>
    </row>
    <row r="83">
      <c r="B83" s="8">
        <v>18.0</v>
      </c>
      <c r="C83" s="20">
        <v>46136.0</v>
      </c>
      <c r="D83" s="22" t="s">
        <v>20</v>
      </c>
      <c r="E83" s="21">
        <v>30000.0</v>
      </c>
      <c r="F83" s="21">
        <f t="shared" si="25"/>
        <v>620000</v>
      </c>
      <c r="H83" s="8">
        <v>17.0</v>
      </c>
      <c r="I83" s="20">
        <v>46167.0</v>
      </c>
      <c r="J83" s="22" t="s">
        <v>19</v>
      </c>
      <c r="K83" s="21">
        <v>50000.0</v>
      </c>
      <c r="L83" s="21">
        <f>sum(L81+K83)</f>
        <v>560000</v>
      </c>
      <c r="N83" s="8">
        <v>18.0</v>
      </c>
      <c r="O83" s="20">
        <v>46197.0</v>
      </c>
      <c r="P83" s="22" t="s">
        <v>22</v>
      </c>
      <c r="Q83" s="21">
        <v>40000.0</v>
      </c>
      <c r="R83" s="21">
        <f t="shared" si="26"/>
        <v>690000</v>
      </c>
    </row>
    <row r="84">
      <c r="B84" s="8"/>
      <c r="D84" s="22"/>
      <c r="E84" s="21"/>
      <c r="F84" s="21"/>
      <c r="H84" s="8">
        <v>18.0</v>
      </c>
      <c r="I84" s="20">
        <v>46168.0</v>
      </c>
      <c r="J84" s="22" t="s">
        <v>21</v>
      </c>
      <c r="K84" s="21">
        <v>30000.0</v>
      </c>
      <c r="L84" s="21">
        <f t="shared" ref="L84:L87" si="27">sum(L83+K84)</f>
        <v>590000</v>
      </c>
      <c r="N84" s="8">
        <v>19.0</v>
      </c>
      <c r="O84" s="20">
        <v>46198.0</v>
      </c>
      <c r="P84" s="22" t="s">
        <v>18</v>
      </c>
      <c r="Q84" s="21">
        <v>70000.0</v>
      </c>
      <c r="R84" s="21">
        <f t="shared" si="26"/>
        <v>760000</v>
      </c>
    </row>
    <row r="85">
      <c r="B85" s="8">
        <v>19.0</v>
      </c>
      <c r="C85" s="20">
        <v>46139.0</v>
      </c>
      <c r="D85" s="22" t="s">
        <v>19</v>
      </c>
      <c r="E85" s="21">
        <v>40000.0</v>
      </c>
      <c r="F85" s="21">
        <f>sum(F83+E85)</f>
        <v>660000</v>
      </c>
      <c r="H85" s="8">
        <v>19.0</v>
      </c>
      <c r="I85" s="20">
        <v>46169.0</v>
      </c>
      <c r="J85" s="22" t="s">
        <v>22</v>
      </c>
      <c r="K85" s="21">
        <v>0.0</v>
      </c>
      <c r="L85" s="21">
        <f t="shared" si="27"/>
        <v>590000</v>
      </c>
      <c r="N85" s="8">
        <v>20.0</v>
      </c>
      <c r="O85" s="20">
        <v>46199.0</v>
      </c>
      <c r="P85" s="22" t="s">
        <v>20</v>
      </c>
      <c r="Q85" s="21">
        <v>30000.0</v>
      </c>
      <c r="R85" s="21">
        <f t="shared" si="26"/>
        <v>790000</v>
      </c>
    </row>
    <row r="86">
      <c r="B86" s="8">
        <v>20.0</v>
      </c>
      <c r="C86" s="20">
        <v>46140.0</v>
      </c>
      <c r="D86" s="22" t="s">
        <v>21</v>
      </c>
      <c r="E86" s="21">
        <v>0.0</v>
      </c>
      <c r="F86" s="21">
        <f t="shared" ref="F86:F88" si="28">sum(F85+E86)</f>
        <v>660000</v>
      </c>
      <c r="H86" s="8">
        <v>20.0</v>
      </c>
      <c r="I86" s="20">
        <v>46170.0</v>
      </c>
      <c r="J86" s="22" t="s">
        <v>18</v>
      </c>
      <c r="K86" s="21">
        <v>0.0</v>
      </c>
      <c r="L86" s="21">
        <f t="shared" si="27"/>
        <v>590000</v>
      </c>
      <c r="N86" s="8"/>
      <c r="Q86" s="21"/>
      <c r="R86" s="21"/>
    </row>
    <row r="87">
      <c r="B87" s="8">
        <v>21.0</v>
      </c>
      <c r="C87" s="20">
        <v>46141.0</v>
      </c>
      <c r="D87" s="22" t="s">
        <v>22</v>
      </c>
      <c r="E87" s="21">
        <v>60000.0</v>
      </c>
      <c r="F87" s="21">
        <f t="shared" si="28"/>
        <v>720000</v>
      </c>
      <c r="H87" s="8">
        <v>21.0</v>
      </c>
      <c r="I87" s="20">
        <v>46171.0</v>
      </c>
      <c r="J87" s="22" t="s">
        <v>20</v>
      </c>
      <c r="K87" s="21">
        <v>0.0</v>
      </c>
      <c r="L87" s="21">
        <f t="shared" si="27"/>
        <v>590000</v>
      </c>
      <c r="N87" s="8">
        <v>21.0</v>
      </c>
      <c r="O87" s="20">
        <v>46202.0</v>
      </c>
      <c r="P87" s="22" t="s">
        <v>19</v>
      </c>
      <c r="Q87" s="21">
        <v>30000.0</v>
      </c>
      <c r="R87" s="21">
        <f>sum(R85+Q87)</f>
        <v>820000</v>
      </c>
    </row>
    <row r="88">
      <c r="B88" s="8">
        <v>22.0</v>
      </c>
      <c r="C88" s="20">
        <v>46142.0</v>
      </c>
      <c r="D88" s="22" t="s">
        <v>18</v>
      </c>
      <c r="E88" s="21">
        <v>60000.0</v>
      </c>
      <c r="F88" s="21">
        <f t="shared" si="28"/>
        <v>780000</v>
      </c>
      <c r="H88" s="13" t="s">
        <v>29</v>
      </c>
      <c r="K88" s="23">
        <f>L87</f>
        <v>590000</v>
      </c>
      <c r="N88" s="8">
        <v>22.0</v>
      </c>
      <c r="O88" s="20">
        <v>46203.0</v>
      </c>
      <c r="P88" s="22" t="s">
        <v>21</v>
      </c>
      <c r="Q88" s="21">
        <v>50000.0</v>
      </c>
      <c r="R88" s="21">
        <f>sum(R87+Q88)</f>
        <v>870000</v>
      </c>
    </row>
    <row r="89">
      <c r="B89" s="13" t="s">
        <v>30</v>
      </c>
      <c r="E89" s="23">
        <f>F88</f>
        <v>780000</v>
      </c>
      <c r="N89" s="13" t="s">
        <v>31</v>
      </c>
      <c r="Q89" s="23">
        <f>R88</f>
        <v>870000</v>
      </c>
    </row>
    <row r="90">
      <c r="O90" s="20"/>
    </row>
    <row r="92">
      <c r="B92" s="18" t="s">
        <v>32</v>
      </c>
      <c r="H92" s="18" t="s">
        <v>33</v>
      </c>
      <c r="N92" s="18" t="s">
        <v>34</v>
      </c>
    </row>
    <row r="94">
      <c r="B94" s="27" t="s">
        <v>6</v>
      </c>
      <c r="C94" s="27" t="s">
        <v>17</v>
      </c>
      <c r="D94" s="27" t="s">
        <v>11</v>
      </c>
      <c r="E94" s="27" t="s">
        <v>9</v>
      </c>
      <c r="F94" s="27" t="s">
        <v>10</v>
      </c>
      <c r="H94" s="26" t="s">
        <v>6</v>
      </c>
      <c r="I94" s="26" t="s">
        <v>17</v>
      </c>
      <c r="J94" s="26" t="s">
        <v>11</v>
      </c>
      <c r="K94" s="26" t="s">
        <v>9</v>
      </c>
      <c r="L94" s="26" t="s">
        <v>10</v>
      </c>
      <c r="N94" s="26" t="s">
        <v>6</v>
      </c>
      <c r="O94" s="26" t="s">
        <v>17</v>
      </c>
      <c r="P94" s="26" t="s">
        <v>11</v>
      </c>
      <c r="Q94" s="26" t="s">
        <v>9</v>
      </c>
      <c r="R94" s="26" t="s">
        <v>10</v>
      </c>
    </row>
    <row r="95">
      <c r="B95" s="8">
        <v>1.0</v>
      </c>
      <c r="C95" s="20">
        <v>46204.0</v>
      </c>
      <c r="D95" s="12" t="s">
        <v>22</v>
      </c>
      <c r="E95" s="21">
        <v>40000.0</v>
      </c>
      <c r="F95" s="21">
        <f>(E95)</f>
        <v>40000</v>
      </c>
      <c r="H95" s="8">
        <v>1.0</v>
      </c>
      <c r="I95" s="20">
        <v>46237.0</v>
      </c>
      <c r="J95" s="22" t="s">
        <v>19</v>
      </c>
      <c r="K95" s="21">
        <v>100000.0</v>
      </c>
      <c r="L95" s="21">
        <f>(K95)</f>
        <v>100000</v>
      </c>
      <c r="N95" s="8">
        <v>1.0</v>
      </c>
      <c r="O95" s="20">
        <v>46266.0</v>
      </c>
      <c r="P95" s="24" t="s">
        <v>21</v>
      </c>
      <c r="Q95" s="21">
        <v>0.0</v>
      </c>
      <c r="R95" s="21">
        <f>(Q95)</f>
        <v>0</v>
      </c>
    </row>
    <row r="96">
      <c r="B96" s="8">
        <v>2.0</v>
      </c>
      <c r="C96" s="20">
        <v>46205.0</v>
      </c>
      <c r="D96" s="12" t="s">
        <v>18</v>
      </c>
      <c r="E96" s="21">
        <v>70000.0</v>
      </c>
      <c r="F96" s="21">
        <f t="shared" ref="F96:F97" si="29">sum(F95+E96)</f>
        <v>110000</v>
      </c>
      <c r="H96" s="8">
        <v>2.0</v>
      </c>
      <c r="I96" s="20">
        <v>46238.0</v>
      </c>
      <c r="J96" s="22" t="s">
        <v>21</v>
      </c>
      <c r="K96" s="21">
        <v>100000.0</v>
      </c>
      <c r="L96" s="21">
        <f t="shared" ref="L96:L99" si="30">sum(L95+K96)</f>
        <v>200000</v>
      </c>
      <c r="N96" s="8">
        <v>2.0</v>
      </c>
      <c r="O96" s="20">
        <v>46267.0</v>
      </c>
      <c r="P96" s="24" t="s">
        <v>22</v>
      </c>
      <c r="Q96" s="21">
        <v>0.0</v>
      </c>
      <c r="R96" s="21">
        <f t="shared" ref="R96:R98" si="31">sum(R95+Q96)</f>
        <v>0</v>
      </c>
    </row>
    <row r="97">
      <c r="B97" s="8">
        <v>3.0</v>
      </c>
      <c r="C97" s="20">
        <v>46206.0</v>
      </c>
      <c r="D97" s="12" t="s">
        <v>20</v>
      </c>
      <c r="E97" s="21">
        <v>50000.0</v>
      </c>
      <c r="F97" s="21">
        <f t="shared" si="29"/>
        <v>160000</v>
      </c>
      <c r="H97" s="8">
        <v>3.0</v>
      </c>
      <c r="I97" s="20">
        <v>46239.0</v>
      </c>
      <c r="J97" s="22" t="s">
        <v>22</v>
      </c>
      <c r="K97" s="21">
        <v>50000.0</v>
      </c>
      <c r="L97" s="21">
        <f t="shared" si="30"/>
        <v>250000</v>
      </c>
      <c r="N97" s="8">
        <v>3.0</v>
      </c>
      <c r="O97" s="20">
        <v>46268.0</v>
      </c>
      <c r="P97" s="24" t="s">
        <v>18</v>
      </c>
      <c r="Q97" s="21">
        <v>0.0</v>
      </c>
      <c r="R97" s="21">
        <f t="shared" si="31"/>
        <v>0</v>
      </c>
    </row>
    <row r="98">
      <c r="C98" s="20"/>
      <c r="E98" s="21"/>
      <c r="F98" s="21"/>
      <c r="H98" s="8">
        <v>4.0</v>
      </c>
      <c r="I98" s="20">
        <v>46240.0</v>
      </c>
      <c r="J98" s="22" t="s">
        <v>18</v>
      </c>
      <c r="K98" s="21">
        <v>100000.0</v>
      </c>
      <c r="L98" s="21">
        <f t="shared" si="30"/>
        <v>350000</v>
      </c>
      <c r="N98" s="8">
        <v>4.0</v>
      </c>
      <c r="O98" s="20">
        <v>46269.0</v>
      </c>
      <c r="P98" s="24" t="s">
        <v>20</v>
      </c>
      <c r="Q98" s="21">
        <v>0.0</v>
      </c>
      <c r="R98" s="21">
        <f t="shared" si="31"/>
        <v>0</v>
      </c>
    </row>
    <row r="99">
      <c r="B99" s="8">
        <v>4.0</v>
      </c>
      <c r="C99" s="20">
        <v>46209.0</v>
      </c>
      <c r="D99" s="22" t="s">
        <v>19</v>
      </c>
      <c r="E99" s="21">
        <v>100000.0</v>
      </c>
      <c r="F99" s="21">
        <f>sum(F97+E99)</f>
        <v>260000</v>
      </c>
      <c r="H99" s="8">
        <v>5.0</v>
      </c>
      <c r="I99" s="20">
        <v>46241.0</v>
      </c>
      <c r="J99" s="22" t="s">
        <v>20</v>
      </c>
      <c r="K99" s="21">
        <v>100000.0</v>
      </c>
      <c r="L99" s="21">
        <f t="shared" si="30"/>
        <v>450000</v>
      </c>
      <c r="N99" s="8"/>
      <c r="O99" s="20"/>
      <c r="P99" s="12"/>
      <c r="Q99" s="21"/>
      <c r="R99" s="21"/>
    </row>
    <row r="100">
      <c r="B100" s="8">
        <v>5.0</v>
      </c>
      <c r="C100" s="20">
        <v>46210.0</v>
      </c>
      <c r="D100" s="22" t="s">
        <v>21</v>
      </c>
      <c r="E100" s="21">
        <v>80000.0</v>
      </c>
      <c r="F100" s="21">
        <f t="shared" ref="F100:F103" si="32">sum(F99+E100)</f>
        <v>340000</v>
      </c>
      <c r="H100" s="8"/>
      <c r="K100" s="21"/>
      <c r="L100" s="21"/>
      <c r="N100" s="8">
        <v>5.0</v>
      </c>
      <c r="O100" s="20">
        <v>46272.0</v>
      </c>
      <c r="P100" s="24" t="s">
        <v>19</v>
      </c>
      <c r="Q100" s="21">
        <v>0.0</v>
      </c>
      <c r="R100" s="21">
        <f>sum(R98+Q100)</f>
        <v>0</v>
      </c>
    </row>
    <row r="101">
      <c r="B101" s="8">
        <v>6.0</v>
      </c>
      <c r="C101" s="20">
        <v>46211.0</v>
      </c>
      <c r="D101" s="22" t="s">
        <v>22</v>
      </c>
      <c r="E101" s="21">
        <v>60000.0</v>
      </c>
      <c r="F101" s="21">
        <f t="shared" si="32"/>
        <v>400000</v>
      </c>
      <c r="H101" s="8">
        <v>6.0</v>
      </c>
      <c r="I101" s="20">
        <v>46244.0</v>
      </c>
      <c r="J101" s="22" t="s">
        <v>19</v>
      </c>
      <c r="K101" s="21">
        <v>100000.0</v>
      </c>
      <c r="L101" s="21">
        <f>sum(L99+K101)</f>
        <v>550000</v>
      </c>
      <c r="N101" s="8">
        <v>6.0</v>
      </c>
      <c r="O101" s="20">
        <v>46273.0</v>
      </c>
      <c r="P101" s="24" t="s">
        <v>21</v>
      </c>
      <c r="Q101" s="21">
        <v>0.0</v>
      </c>
      <c r="R101" s="21">
        <f t="shared" ref="R101:R104" si="33">sum(R100+Q101)</f>
        <v>0</v>
      </c>
    </row>
    <row r="102">
      <c r="B102" s="8">
        <v>7.0</v>
      </c>
      <c r="C102" s="20">
        <v>46212.0</v>
      </c>
      <c r="D102" s="22" t="s">
        <v>18</v>
      </c>
      <c r="E102" s="21">
        <v>70000.0</v>
      </c>
      <c r="F102" s="21">
        <f t="shared" si="32"/>
        <v>470000</v>
      </c>
      <c r="H102" s="8">
        <v>7.0</v>
      </c>
      <c r="I102" s="20">
        <v>46245.0</v>
      </c>
      <c r="J102" s="22" t="s">
        <v>21</v>
      </c>
      <c r="K102" s="21">
        <v>50000.0</v>
      </c>
      <c r="L102" s="21">
        <f t="shared" ref="L102:L105" si="34">sum(L101+K102)</f>
        <v>600000</v>
      </c>
      <c r="N102" s="8">
        <v>7.0</v>
      </c>
      <c r="O102" s="20">
        <v>46274.0</v>
      </c>
      <c r="P102" s="24" t="s">
        <v>22</v>
      </c>
      <c r="Q102" s="21">
        <v>0.0</v>
      </c>
      <c r="R102" s="21">
        <f t="shared" si="33"/>
        <v>0</v>
      </c>
    </row>
    <row r="103">
      <c r="B103" s="8">
        <v>8.0</v>
      </c>
      <c r="C103" s="20">
        <v>46213.0</v>
      </c>
      <c r="D103" s="22" t="s">
        <v>20</v>
      </c>
      <c r="E103" s="21">
        <v>90000.0</v>
      </c>
      <c r="F103" s="21">
        <f t="shared" si="32"/>
        <v>560000</v>
      </c>
      <c r="H103" s="8">
        <v>8.0</v>
      </c>
      <c r="I103" s="20">
        <v>46246.0</v>
      </c>
      <c r="J103" s="22" t="s">
        <v>22</v>
      </c>
      <c r="K103" s="21">
        <v>100000.0</v>
      </c>
      <c r="L103" s="21">
        <f t="shared" si="34"/>
        <v>700000</v>
      </c>
      <c r="N103" s="8">
        <v>8.0</v>
      </c>
      <c r="O103" s="20">
        <v>46275.0</v>
      </c>
      <c r="P103" s="24" t="s">
        <v>18</v>
      </c>
      <c r="Q103" s="21">
        <v>0.0</v>
      </c>
      <c r="R103" s="21">
        <f t="shared" si="33"/>
        <v>0</v>
      </c>
    </row>
    <row r="104">
      <c r="B104" s="8"/>
      <c r="E104" s="21"/>
      <c r="F104" s="21"/>
      <c r="H104" s="8">
        <v>9.0</v>
      </c>
      <c r="I104" s="20">
        <v>46247.0</v>
      </c>
      <c r="J104" s="22" t="s">
        <v>18</v>
      </c>
      <c r="K104" s="21">
        <v>100000.0</v>
      </c>
      <c r="L104" s="21">
        <f t="shared" si="34"/>
        <v>800000</v>
      </c>
      <c r="N104" s="8">
        <v>9.0</v>
      </c>
      <c r="O104" s="20">
        <v>46276.0</v>
      </c>
      <c r="P104" s="24" t="s">
        <v>20</v>
      </c>
      <c r="Q104" s="21">
        <v>0.0</v>
      </c>
      <c r="R104" s="21">
        <f t="shared" si="33"/>
        <v>0</v>
      </c>
    </row>
    <row r="105">
      <c r="B105" s="8">
        <v>9.0</v>
      </c>
      <c r="C105" s="20">
        <v>46216.0</v>
      </c>
      <c r="D105" s="22" t="s">
        <v>19</v>
      </c>
      <c r="E105" s="21">
        <v>100000.0</v>
      </c>
      <c r="F105" s="21">
        <f>sum(F103+E105)</f>
        <v>660000</v>
      </c>
      <c r="H105" s="8">
        <v>10.0</v>
      </c>
      <c r="I105" s="20">
        <v>46248.0</v>
      </c>
      <c r="J105" s="22" t="s">
        <v>20</v>
      </c>
      <c r="K105" s="21">
        <v>50000.0</v>
      </c>
      <c r="L105" s="21">
        <f t="shared" si="34"/>
        <v>850000</v>
      </c>
      <c r="N105" s="12"/>
      <c r="O105" s="12"/>
      <c r="P105" s="12"/>
      <c r="Q105" s="21"/>
      <c r="R105" s="21"/>
    </row>
    <row r="106">
      <c r="B106" s="8">
        <v>10.0</v>
      </c>
      <c r="C106" s="20">
        <v>46217.0</v>
      </c>
      <c r="D106" s="22" t="s">
        <v>21</v>
      </c>
      <c r="E106" s="21">
        <v>70000.0</v>
      </c>
      <c r="F106" s="21">
        <f t="shared" ref="F106:F109" si="35">sum(F105+E106)</f>
        <v>730000</v>
      </c>
      <c r="K106" s="21"/>
      <c r="L106" s="21"/>
      <c r="N106" s="8">
        <v>10.0</v>
      </c>
      <c r="O106" s="20">
        <v>46279.0</v>
      </c>
      <c r="P106" s="24" t="s">
        <v>19</v>
      </c>
      <c r="Q106" s="21">
        <v>0.0</v>
      </c>
      <c r="R106" s="21">
        <f>sum(R104+Q106)</f>
        <v>0</v>
      </c>
    </row>
    <row r="107">
      <c r="B107" s="8">
        <v>11.0</v>
      </c>
      <c r="C107" s="20">
        <v>46218.0</v>
      </c>
      <c r="D107" s="22" t="s">
        <v>22</v>
      </c>
      <c r="E107" s="21">
        <v>70000.0</v>
      </c>
      <c r="F107" s="21">
        <f t="shared" si="35"/>
        <v>800000</v>
      </c>
      <c r="H107" s="8">
        <v>11.0</v>
      </c>
      <c r="I107" s="20">
        <v>46251.0</v>
      </c>
      <c r="J107" s="22" t="s">
        <v>19</v>
      </c>
      <c r="K107" s="21">
        <v>0.0</v>
      </c>
      <c r="L107" s="21">
        <f>sum(L105+K107)</f>
        <v>850000</v>
      </c>
      <c r="N107" s="8">
        <v>11.0</v>
      </c>
      <c r="O107" s="20">
        <v>46280.0</v>
      </c>
      <c r="P107" s="24" t="s">
        <v>21</v>
      </c>
      <c r="Q107" s="21">
        <v>0.0</v>
      </c>
      <c r="R107" s="21">
        <f t="shared" ref="R107:R110" si="36">sum(R106+Q107)</f>
        <v>0</v>
      </c>
    </row>
    <row r="108">
      <c r="B108" s="8">
        <v>12.0</v>
      </c>
      <c r="C108" s="20">
        <v>46219.0</v>
      </c>
      <c r="D108" s="22" t="s">
        <v>18</v>
      </c>
      <c r="E108" s="21">
        <v>50000.0</v>
      </c>
      <c r="F108" s="21">
        <f t="shared" si="35"/>
        <v>850000</v>
      </c>
      <c r="H108" s="8">
        <v>12.0</v>
      </c>
      <c r="I108" s="20">
        <v>46252.0</v>
      </c>
      <c r="J108" s="22" t="s">
        <v>21</v>
      </c>
      <c r="K108" s="21">
        <v>50000.0</v>
      </c>
      <c r="L108" s="21">
        <f t="shared" ref="L108:L111" si="37">sum(L107+K108)</f>
        <v>900000</v>
      </c>
      <c r="N108" s="8">
        <v>12.0</v>
      </c>
      <c r="O108" s="20">
        <v>46281.0</v>
      </c>
      <c r="P108" s="24" t="s">
        <v>22</v>
      </c>
      <c r="Q108" s="21">
        <v>0.0</v>
      </c>
      <c r="R108" s="21">
        <f t="shared" si="36"/>
        <v>0</v>
      </c>
    </row>
    <row r="109">
      <c r="B109" s="8">
        <v>13.0</v>
      </c>
      <c r="C109" s="20">
        <v>46220.0</v>
      </c>
      <c r="D109" s="22" t="s">
        <v>20</v>
      </c>
      <c r="E109" s="21">
        <v>100000.0</v>
      </c>
      <c r="F109" s="21">
        <f t="shared" si="35"/>
        <v>950000</v>
      </c>
      <c r="H109" s="8">
        <v>13.0</v>
      </c>
      <c r="I109" s="20">
        <v>46253.0</v>
      </c>
      <c r="J109" s="22" t="s">
        <v>22</v>
      </c>
      <c r="K109" s="21">
        <v>50000.0</v>
      </c>
      <c r="L109" s="21">
        <f t="shared" si="37"/>
        <v>950000</v>
      </c>
      <c r="N109" s="8">
        <v>13.0</v>
      </c>
      <c r="O109" s="20">
        <v>46282.0</v>
      </c>
      <c r="P109" s="24" t="s">
        <v>18</v>
      </c>
      <c r="Q109" s="21">
        <v>0.0</v>
      </c>
      <c r="R109" s="21">
        <f t="shared" si="36"/>
        <v>0</v>
      </c>
    </row>
    <row r="110">
      <c r="B110" s="8"/>
      <c r="E110" s="21"/>
      <c r="F110" s="21"/>
      <c r="H110" s="8">
        <v>14.0</v>
      </c>
      <c r="I110" s="20">
        <v>46254.0</v>
      </c>
      <c r="J110" s="22" t="s">
        <v>18</v>
      </c>
      <c r="K110" s="21">
        <v>0.0</v>
      </c>
      <c r="L110" s="21">
        <f t="shared" si="37"/>
        <v>950000</v>
      </c>
      <c r="N110" s="8">
        <v>14.0</v>
      </c>
      <c r="O110" s="20">
        <v>46283.0</v>
      </c>
      <c r="P110" s="24" t="s">
        <v>20</v>
      </c>
      <c r="Q110" s="21">
        <v>0.0</v>
      </c>
      <c r="R110" s="21">
        <f t="shared" si="36"/>
        <v>0</v>
      </c>
    </row>
    <row r="111">
      <c r="B111" s="8">
        <v>14.0</v>
      </c>
      <c r="C111" s="20">
        <v>46223.0</v>
      </c>
      <c r="D111" s="22" t="s">
        <v>19</v>
      </c>
      <c r="E111" s="21">
        <v>100000.0</v>
      </c>
      <c r="F111" s="21">
        <f>sum(F109+E111)</f>
        <v>1050000</v>
      </c>
      <c r="H111" s="8">
        <v>15.0</v>
      </c>
      <c r="I111" s="20">
        <v>46255.0</v>
      </c>
      <c r="J111" s="22" t="s">
        <v>20</v>
      </c>
      <c r="K111" s="21">
        <v>0.0</v>
      </c>
      <c r="L111" s="21">
        <f t="shared" si="37"/>
        <v>950000</v>
      </c>
      <c r="N111" s="12"/>
      <c r="O111" s="12"/>
      <c r="P111" s="12"/>
      <c r="Q111" s="21"/>
      <c r="R111" s="21"/>
    </row>
    <row r="112">
      <c r="B112" s="8">
        <v>15.0</v>
      </c>
      <c r="C112" s="20">
        <v>46224.0</v>
      </c>
      <c r="D112" s="22" t="s">
        <v>21</v>
      </c>
      <c r="E112" s="21">
        <v>100000.0</v>
      </c>
      <c r="F112" s="21">
        <f t="shared" ref="F112:F115" si="38">sum(F111+E112)</f>
        <v>1150000</v>
      </c>
      <c r="K112" s="21"/>
      <c r="L112" s="21"/>
      <c r="N112" s="8">
        <v>15.0</v>
      </c>
      <c r="O112" s="20">
        <v>46286.0</v>
      </c>
      <c r="P112" s="24" t="s">
        <v>19</v>
      </c>
      <c r="Q112" s="21">
        <v>0.0</v>
      </c>
      <c r="R112" s="21">
        <f>sum(R110+Q112)</f>
        <v>0</v>
      </c>
    </row>
    <row r="113">
      <c r="B113" s="8">
        <v>16.0</v>
      </c>
      <c r="C113" s="20">
        <v>46225.0</v>
      </c>
      <c r="D113" s="22" t="s">
        <v>22</v>
      </c>
      <c r="E113" s="21">
        <v>50000.0</v>
      </c>
      <c r="F113" s="21">
        <f t="shared" si="38"/>
        <v>1200000</v>
      </c>
      <c r="H113" s="8">
        <v>16.0</v>
      </c>
      <c r="I113" s="20">
        <v>46258.0</v>
      </c>
      <c r="J113" s="22" t="s">
        <v>19</v>
      </c>
      <c r="K113" s="21">
        <v>0.0</v>
      </c>
      <c r="L113" s="21">
        <f>sum(L111+K113)</f>
        <v>950000</v>
      </c>
      <c r="N113" s="8">
        <v>16.0</v>
      </c>
      <c r="O113" s="20">
        <v>46287.0</v>
      </c>
      <c r="P113" s="24" t="s">
        <v>21</v>
      </c>
      <c r="Q113" s="21">
        <v>0.0</v>
      </c>
      <c r="R113" s="21">
        <f t="shared" ref="R113:R116" si="39">sum(R112+Q113)</f>
        <v>0</v>
      </c>
    </row>
    <row r="114">
      <c r="B114" s="8">
        <v>17.0</v>
      </c>
      <c r="C114" s="20">
        <v>46226.0</v>
      </c>
      <c r="D114" s="22" t="s">
        <v>18</v>
      </c>
      <c r="E114" s="21">
        <v>100000.0</v>
      </c>
      <c r="F114" s="21">
        <f t="shared" si="38"/>
        <v>1300000</v>
      </c>
      <c r="H114" s="8">
        <v>17.0</v>
      </c>
      <c r="I114" s="20">
        <v>46259.0</v>
      </c>
      <c r="J114" s="22" t="s">
        <v>21</v>
      </c>
      <c r="K114" s="21">
        <v>0.0</v>
      </c>
      <c r="L114" s="21">
        <f t="shared" ref="L114:L117" si="40">sum(L113+K114)</f>
        <v>950000</v>
      </c>
      <c r="N114" s="8">
        <v>17.0</v>
      </c>
      <c r="O114" s="20">
        <v>46288.0</v>
      </c>
      <c r="P114" s="24" t="s">
        <v>22</v>
      </c>
      <c r="Q114" s="21">
        <v>0.0</v>
      </c>
      <c r="R114" s="21">
        <f t="shared" si="39"/>
        <v>0</v>
      </c>
    </row>
    <row r="115">
      <c r="B115" s="8">
        <v>18.0</v>
      </c>
      <c r="C115" s="20">
        <v>46227.0</v>
      </c>
      <c r="D115" s="22" t="s">
        <v>20</v>
      </c>
      <c r="E115" s="21">
        <v>50000.0</v>
      </c>
      <c r="F115" s="21">
        <f t="shared" si="38"/>
        <v>1350000</v>
      </c>
      <c r="H115" s="8">
        <v>18.0</v>
      </c>
      <c r="I115" s="20">
        <v>46260.0</v>
      </c>
      <c r="J115" s="22" t="s">
        <v>22</v>
      </c>
      <c r="K115" s="21">
        <v>0.0</v>
      </c>
      <c r="L115" s="21">
        <f t="shared" si="40"/>
        <v>950000</v>
      </c>
      <c r="N115" s="8">
        <v>18.0</v>
      </c>
      <c r="O115" s="20">
        <v>46289.0</v>
      </c>
      <c r="P115" s="24" t="s">
        <v>18</v>
      </c>
      <c r="Q115" s="21">
        <v>0.0</v>
      </c>
      <c r="R115" s="21">
        <f t="shared" si="39"/>
        <v>0</v>
      </c>
    </row>
    <row r="116">
      <c r="B116" s="8"/>
      <c r="D116" s="22"/>
      <c r="E116" s="21"/>
      <c r="F116" s="21"/>
      <c r="H116" s="8">
        <v>19.0</v>
      </c>
      <c r="I116" s="20">
        <v>46261.0</v>
      </c>
      <c r="J116" s="22" t="s">
        <v>18</v>
      </c>
      <c r="K116" s="21">
        <v>0.0</v>
      </c>
      <c r="L116" s="21">
        <f t="shared" si="40"/>
        <v>950000</v>
      </c>
      <c r="N116" s="8">
        <v>19.0</v>
      </c>
      <c r="O116" s="20">
        <v>46290.0</v>
      </c>
      <c r="P116" s="24" t="s">
        <v>20</v>
      </c>
      <c r="Q116" s="21">
        <v>0.0</v>
      </c>
      <c r="R116" s="21">
        <f t="shared" si="39"/>
        <v>0</v>
      </c>
    </row>
    <row r="117">
      <c r="B117" s="8">
        <v>19.0</v>
      </c>
      <c r="C117" s="20">
        <v>46230.0</v>
      </c>
      <c r="D117" s="22" t="s">
        <v>19</v>
      </c>
      <c r="E117" s="21">
        <v>100000.0</v>
      </c>
      <c r="F117" s="21">
        <f>sum(F115+E117)</f>
        <v>1450000</v>
      </c>
      <c r="H117" s="8">
        <v>20.0</v>
      </c>
      <c r="I117" s="20">
        <v>46262.0</v>
      </c>
      <c r="J117" s="22" t="s">
        <v>20</v>
      </c>
      <c r="K117" s="21">
        <v>0.0</v>
      </c>
      <c r="L117" s="21">
        <f t="shared" si="40"/>
        <v>950000</v>
      </c>
      <c r="N117" s="12"/>
      <c r="O117" s="12"/>
      <c r="P117" s="12"/>
      <c r="Q117" s="21"/>
      <c r="R117" s="21"/>
    </row>
    <row r="118">
      <c r="B118" s="8">
        <v>20.0</v>
      </c>
      <c r="C118" s="20">
        <v>46231.0</v>
      </c>
      <c r="D118" s="22" t="s">
        <v>21</v>
      </c>
      <c r="E118" s="21">
        <v>100000.0</v>
      </c>
      <c r="F118" s="21">
        <f t="shared" ref="F118:F121" si="41">sum(F117+E118)</f>
        <v>1550000</v>
      </c>
      <c r="K118" s="21"/>
      <c r="L118" s="21"/>
      <c r="N118" s="8">
        <v>20.0</v>
      </c>
      <c r="O118" s="20">
        <v>46293.0</v>
      </c>
      <c r="P118" s="24" t="s">
        <v>19</v>
      </c>
      <c r="Q118" s="21">
        <v>0.0</v>
      </c>
      <c r="R118" s="21">
        <f>sum(R116+Q118)</f>
        <v>0</v>
      </c>
    </row>
    <row r="119">
      <c r="B119" s="8">
        <v>21.0</v>
      </c>
      <c r="C119" s="20">
        <v>46232.0</v>
      </c>
      <c r="D119" s="22" t="s">
        <v>22</v>
      </c>
      <c r="E119" s="21">
        <v>50000.0</v>
      </c>
      <c r="F119" s="21">
        <f t="shared" si="41"/>
        <v>1600000</v>
      </c>
      <c r="H119" s="8">
        <v>21.0</v>
      </c>
      <c r="I119" s="20">
        <v>46265.0</v>
      </c>
      <c r="J119" s="22" t="s">
        <v>19</v>
      </c>
      <c r="K119" s="21">
        <v>0.0</v>
      </c>
      <c r="L119" s="21">
        <f>sum(L117+K119)</f>
        <v>950000</v>
      </c>
      <c r="N119" s="8">
        <v>21.0</v>
      </c>
      <c r="O119" s="20">
        <v>46294.0</v>
      </c>
      <c r="P119" s="24" t="s">
        <v>21</v>
      </c>
      <c r="Q119" s="21">
        <v>0.0</v>
      </c>
      <c r="R119" s="21">
        <f t="shared" ref="R119:R120" si="42">sum(R118+Q119)</f>
        <v>0</v>
      </c>
    </row>
    <row r="120">
      <c r="B120" s="8">
        <v>22.0</v>
      </c>
      <c r="C120" s="20">
        <v>46233.0</v>
      </c>
      <c r="D120" s="22" t="s">
        <v>18</v>
      </c>
      <c r="E120" s="21">
        <v>100000.0</v>
      </c>
      <c r="F120" s="21">
        <f t="shared" si="41"/>
        <v>1700000</v>
      </c>
      <c r="H120" s="13" t="s">
        <v>35</v>
      </c>
      <c r="K120" s="23">
        <f>L119</f>
        <v>950000</v>
      </c>
      <c r="N120" s="8">
        <v>22.0</v>
      </c>
      <c r="O120" s="20">
        <v>46295.0</v>
      </c>
      <c r="P120" s="24" t="s">
        <v>22</v>
      </c>
      <c r="Q120" s="21">
        <v>0.0</v>
      </c>
      <c r="R120" s="21">
        <f t="shared" si="42"/>
        <v>0</v>
      </c>
    </row>
    <row r="121">
      <c r="B121" s="8">
        <v>23.0</v>
      </c>
      <c r="C121" s="20">
        <v>46234.0</v>
      </c>
      <c r="D121" s="22" t="s">
        <v>20</v>
      </c>
      <c r="E121" s="21">
        <v>50000.0</v>
      </c>
      <c r="F121" s="21">
        <f t="shared" si="41"/>
        <v>1750000</v>
      </c>
      <c r="N121" s="13" t="s">
        <v>36</v>
      </c>
      <c r="Q121" s="23">
        <f>R120</f>
        <v>0</v>
      </c>
    </row>
    <row r="122">
      <c r="B122" s="13" t="s">
        <v>37</v>
      </c>
      <c r="E122" s="23">
        <f>F121</f>
        <v>1750000</v>
      </c>
    </row>
    <row r="123">
      <c r="I123" s="20"/>
    </row>
    <row r="124">
      <c r="I124" s="20"/>
    </row>
    <row r="125">
      <c r="B125" s="28" t="s">
        <v>38</v>
      </c>
      <c r="H125" s="28" t="s">
        <v>39</v>
      </c>
      <c r="N125" s="28" t="s">
        <v>40</v>
      </c>
    </row>
    <row r="127">
      <c r="B127" s="26" t="s">
        <v>6</v>
      </c>
      <c r="C127" s="26" t="s">
        <v>17</v>
      </c>
      <c r="D127" s="26" t="s">
        <v>11</v>
      </c>
      <c r="E127" s="26" t="s">
        <v>9</v>
      </c>
      <c r="F127" s="26" t="s">
        <v>10</v>
      </c>
      <c r="H127" s="26" t="s">
        <v>6</v>
      </c>
      <c r="I127" s="26" t="s">
        <v>17</v>
      </c>
      <c r="J127" s="26" t="s">
        <v>11</v>
      </c>
      <c r="K127" s="26" t="s">
        <v>9</v>
      </c>
      <c r="L127" s="26" t="s">
        <v>10</v>
      </c>
      <c r="N127" s="26" t="s">
        <v>6</v>
      </c>
      <c r="O127" s="26" t="s">
        <v>17</v>
      </c>
      <c r="P127" s="26" t="s">
        <v>11</v>
      </c>
      <c r="Q127" s="26" t="s">
        <v>9</v>
      </c>
      <c r="R127" s="26" t="s">
        <v>10</v>
      </c>
    </row>
    <row r="128">
      <c r="B128" s="8">
        <v>1.0</v>
      </c>
      <c r="C128" s="20">
        <v>46296.0</v>
      </c>
      <c r="D128" s="12" t="s">
        <v>18</v>
      </c>
      <c r="E128" s="21">
        <v>0.0</v>
      </c>
      <c r="F128" s="21">
        <f>(E128)</f>
        <v>0</v>
      </c>
      <c r="H128" s="8">
        <v>1.0</v>
      </c>
      <c r="I128" s="29">
        <v>46328.0</v>
      </c>
      <c r="J128" s="22" t="s">
        <v>19</v>
      </c>
      <c r="K128" s="21">
        <v>0.0</v>
      </c>
      <c r="L128" s="21">
        <f>(K128)</f>
        <v>0</v>
      </c>
      <c r="N128" s="8">
        <v>1.0</v>
      </c>
      <c r="O128" s="20">
        <v>46357.0</v>
      </c>
      <c r="P128" s="22" t="s">
        <v>21</v>
      </c>
      <c r="Q128" s="21">
        <v>0.0</v>
      </c>
      <c r="R128" s="21">
        <f>(Q128)</f>
        <v>0</v>
      </c>
    </row>
    <row r="129">
      <c r="B129" s="8">
        <v>2.0</v>
      </c>
      <c r="C129" s="20">
        <v>46297.0</v>
      </c>
      <c r="D129" s="12" t="s">
        <v>20</v>
      </c>
      <c r="E129" s="21">
        <v>0.0</v>
      </c>
      <c r="F129" s="21">
        <f>sum(F128+E129)</f>
        <v>0</v>
      </c>
      <c r="H129" s="8">
        <v>2.0</v>
      </c>
      <c r="I129" s="29">
        <v>46329.0</v>
      </c>
      <c r="J129" s="22" t="s">
        <v>21</v>
      </c>
      <c r="K129" s="21">
        <v>0.0</v>
      </c>
      <c r="L129" s="21">
        <f t="shared" ref="L129:L132" si="43">sum(L128+K129)</f>
        <v>0</v>
      </c>
      <c r="N129" s="8">
        <v>2.0</v>
      </c>
      <c r="O129" s="20">
        <v>46358.0</v>
      </c>
      <c r="P129" s="22" t="s">
        <v>22</v>
      </c>
      <c r="Q129" s="21">
        <v>0.0</v>
      </c>
      <c r="R129" s="21">
        <f t="shared" ref="R129:R131" si="44">sum(R128+Q129)</f>
        <v>0</v>
      </c>
    </row>
    <row r="130">
      <c r="C130" s="20"/>
      <c r="E130" s="21"/>
      <c r="F130" s="21"/>
      <c r="H130" s="8">
        <v>3.0</v>
      </c>
      <c r="I130" s="29">
        <v>46330.0</v>
      </c>
      <c r="J130" s="22" t="s">
        <v>22</v>
      </c>
      <c r="K130" s="21">
        <v>0.0</v>
      </c>
      <c r="L130" s="21">
        <f t="shared" si="43"/>
        <v>0</v>
      </c>
      <c r="N130" s="8">
        <v>3.0</v>
      </c>
      <c r="O130" s="20">
        <v>46359.0</v>
      </c>
      <c r="P130" s="22" t="s">
        <v>18</v>
      </c>
      <c r="Q130" s="21">
        <v>0.0</v>
      </c>
      <c r="R130" s="21">
        <f t="shared" si="44"/>
        <v>0</v>
      </c>
    </row>
    <row r="131">
      <c r="B131" s="8">
        <v>3.0</v>
      </c>
      <c r="C131" s="20">
        <v>46300.0</v>
      </c>
      <c r="D131" s="22" t="s">
        <v>19</v>
      </c>
      <c r="E131" s="21">
        <v>0.0</v>
      </c>
      <c r="F131" s="21">
        <f>sum(F129+E131)</f>
        <v>0</v>
      </c>
      <c r="H131" s="8">
        <v>4.0</v>
      </c>
      <c r="I131" s="29">
        <v>46331.0</v>
      </c>
      <c r="J131" s="22" t="s">
        <v>18</v>
      </c>
      <c r="K131" s="21">
        <v>0.0</v>
      </c>
      <c r="L131" s="21">
        <f t="shared" si="43"/>
        <v>0</v>
      </c>
      <c r="N131" s="8">
        <v>4.0</v>
      </c>
      <c r="O131" s="20">
        <v>46360.0</v>
      </c>
      <c r="P131" s="22" t="s">
        <v>20</v>
      </c>
      <c r="Q131" s="21">
        <v>0.0</v>
      </c>
      <c r="R131" s="21">
        <f t="shared" si="44"/>
        <v>0</v>
      </c>
    </row>
    <row r="132">
      <c r="B132" s="8">
        <v>4.0</v>
      </c>
      <c r="C132" s="20">
        <v>46301.0</v>
      </c>
      <c r="D132" s="22" t="s">
        <v>21</v>
      </c>
      <c r="E132" s="21">
        <v>0.0</v>
      </c>
      <c r="F132" s="21">
        <f t="shared" ref="F132:F135" si="45">sum(F131+E132)</f>
        <v>0</v>
      </c>
      <c r="H132" s="8">
        <v>5.0</v>
      </c>
      <c r="I132" s="29">
        <v>46332.0</v>
      </c>
      <c r="J132" s="22" t="s">
        <v>20</v>
      </c>
      <c r="K132" s="21">
        <v>0.0</v>
      </c>
      <c r="L132" s="21">
        <f t="shared" si="43"/>
        <v>0</v>
      </c>
      <c r="O132" s="20"/>
      <c r="Q132" s="21"/>
      <c r="R132" s="21"/>
    </row>
    <row r="133">
      <c r="B133" s="8">
        <v>5.0</v>
      </c>
      <c r="C133" s="20">
        <v>46302.0</v>
      </c>
      <c r="D133" s="22" t="s">
        <v>22</v>
      </c>
      <c r="E133" s="21">
        <v>0.0</v>
      </c>
      <c r="F133" s="21">
        <f t="shared" si="45"/>
        <v>0</v>
      </c>
      <c r="K133" s="21"/>
      <c r="L133" s="21"/>
      <c r="N133" s="8">
        <v>5.0</v>
      </c>
      <c r="O133" s="20">
        <v>46363.0</v>
      </c>
      <c r="P133" s="22" t="s">
        <v>19</v>
      </c>
      <c r="Q133" s="21">
        <v>0.0</v>
      </c>
      <c r="R133" s="21">
        <f>sum(R131+Q133)</f>
        <v>0</v>
      </c>
    </row>
    <row r="134">
      <c r="B134" s="8">
        <v>6.0</v>
      </c>
      <c r="C134" s="20">
        <v>46303.0</v>
      </c>
      <c r="D134" s="22" t="s">
        <v>18</v>
      </c>
      <c r="E134" s="21">
        <v>0.0</v>
      </c>
      <c r="F134" s="21">
        <f t="shared" si="45"/>
        <v>0</v>
      </c>
      <c r="H134" s="8">
        <v>6.0</v>
      </c>
      <c r="I134" s="29">
        <v>46335.0</v>
      </c>
      <c r="J134" s="22" t="s">
        <v>19</v>
      </c>
      <c r="K134" s="21">
        <v>0.0</v>
      </c>
      <c r="L134" s="21">
        <f>sum(L132+K134)</f>
        <v>0</v>
      </c>
      <c r="N134" s="8">
        <v>6.0</v>
      </c>
      <c r="O134" s="20">
        <v>46364.0</v>
      </c>
      <c r="P134" s="22" t="s">
        <v>21</v>
      </c>
      <c r="Q134" s="21">
        <v>0.0</v>
      </c>
      <c r="R134" s="21">
        <f t="shared" ref="R134:R137" si="46">sum(R133+Q134)</f>
        <v>0</v>
      </c>
    </row>
    <row r="135">
      <c r="B135" s="8">
        <v>7.0</v>
      </c>
      <c r="C135" s="20">
        <v>46304.0</v>
      </c>
      <c r="D135" s="22" t="s">
        <v>20</v>
      </c>
      <c r="E135" s="21">
        <v>0.0</v>
      </c>
      <c r="F135" s="21">
        <f t="shared" si="45"/>
        <v>0</v>
      </c>
      <c r="H135" s="8">
        <v>7.0</v>
      </c>
      <c r="I135" s="30">
        <v>46336.0</v>
      </c>
      <c r="J135" s="22" t="s">
        <v>21</v>
      </c>
      <c r="K135" s="21">
        <v>0.0</v>
      </c>
      <c r="L135" s="21">
        <f t="shared" ref="L135:L138" si="47">sum(L134+K135)</f>
        <v>0</v>
      </c>
      <c r="N135" s="8">
        <v>7.0</v>
      </c>
      <c r="O135" s="20">
        <v>46365.0</v>
      </c>
      <c r="P135" s="22" t="s">
        <v>22</v>
      </c>
      <c r="Q135" s="21">
        <v>0.0</v>
      </c>
      <c r="R135" s="21">
        <f t="shared" si="46"/>
        <v>0</v>
      </c>
    </row>
    <row r="136">
      <c r="E136" s="21"/>
      <c r="F136" s="21"/>
      <c r="H136" s="8">
        <v>8.0</v>
      </c>
      <c r="I136" s="30">
        <v>46337.0</v>
      </c>
      <c r="J136" s="22" t="s">
        <v>22</v>
      </c>
      <c r="K136" s="21">
        <v>0.0</v>
      </c>
      <c r="L136" s="21">
        <f t="shared" si="47"/>
        <v>0</v>
      </c>
      <c r="N136" s="8">
        <v>8.0</v>
      </c>
      <c r="O136" s="20">
        <v>46366.0</v>
      </c>
      <c r="P136" s="22" t="s">
        <v>18</v>
      </c>
      <c r="Q136" s="21">
        <v>0.0</v>
      </c>
      <c r="R136" s="21">
        <f t="shared" si="46"/>
        <v>0</v>
      </c>
    </row>
    <row r="137">
      <c r="B137" s="8">
        <v>8.0</v>
      </c>
      <c r="C137" s="20">
        <v>46307.0</v>
      </c>
      <c r="D137" s="22" t="s">
        <v>19</v>
      </c>
      <c r="E137" s="21">
        <v>0.0</v>
      </c>
      <c r="F137" s="21">
        <f>sum(F135+E137)</f>
        <v>0</v>
      </c>
      <c r="H137" s="8">
        <v>9.0</v>
      </c>
      <c r="I137" s="30">
        <v>46338.0</v>
      </c>
      <c r="J137" s="22" t="s">
        <v>18</v>
      </c>
      <c r="K137" s="21">
        <v>0.0</v>
      </c>
      <c r="L137" s="21">
        <f t="shared" si="47"/>
        <v>0</v>
      </c>
      <c r="N137" s="8">
        <v>9.0</v>
      </c>
      <c r="O137" s="20">
        <v>46367.0</v>
      </c>
      <c r="P137" s="22" t="s">
        <v>20</v>
      </c>
      <c r="Q137" s="21">
        <v>0.0</v>
      </c>
      <c r="R137" s="21">
        <f t="shared" si="46"/>
        <v>0</v>
      </c>
    </row>
    <row r="138">
      <c r="B138" s="8">
        <v>9.0</v>
      </c>
      <c r="C138" s="20">
        <v>46308.0</v>
      </c>
      <c r="D138" s="22" t="s">
        <v>21</v>
      </c>
      <c r="E138" s="21">
        <v>0.0</v>
      </c>
      <c r="F138" s="21">
        <f t="shared" ref="F138:F141" si="48">sum(F137+E138)</f>
        <v>0</v>
      </c>
      <c r="H138" s="8">
        <v>10.0</v>
      </c>
      <c r="I138" s="30">
        <v>46339.0</v>
      </c>
      <c r="J138" s="22" t="s">
        <v>20</v>
      </c>
      <c r="K138" s="21">
        <v>0.0</v>
      </c>
      <c r="L138" s="21">
        <f t="shared" si="47"/>
        <v>0</v>
      </c>
      <c r="Q138" s="21"/>
      <c r="R138" s="21"/>
    </row>
    <row r="139">
      <c r="B139" s="8">
        <v>10.0</v>
      </c>
      <c r="C139" s="20">
        <v>46309.0</v>
      </c>
      <c r="D139" s="22" t="s">
        <v>22</v>
      </c>
      <c r="E139" s="21">
        <v>0.0</v>
      </c>
      <c r="F139" s="21">
        <f t="shared" si="48"/>
        <v>0</v>
      </c>
      <c r="K139" s="21"/>
      <c r="L139" s="21"/>
      <c r="N139" s="8">
        <v>10.0</v>
      </c>
      <c r="O139" s="20">
        <v>46370.0</v>
      </c>
      <c r="P139" s="22" t="s">
        <v>19</v>
      </c>
      <c r="Q139" s="21">
        <v>0.0</v>
      </c>
      <c r="R139" s="21">
        <f>sum(R137+Q139)</f>
        <v>0</v>
      </c>
    </row>
    <row r="140">
      <c r="B140" s="8">
        <v>11.0</v>
      </c>
      <c r="C140" s="20">
        <v>46310.0</v>
      </c>
      <c r="D140" s="22" t="s">
        <v>18</v>
      </c>
      <c r="E140" s="21">
        <v>0.0</v>
      </c>
      <c r="F140" s="21">
        <f t="shared" si="48"/>
        <v>0</v>
      </c>
      <c r="H140" s="8">
        <v>11.0</v>
      </c>
      <c r="I140" s="30">
        <v>46342.0</v>
      </c>
      <c r="J140" s="22" t="s">
        <v>19</v>
      </c>
      <c r="K140" s="21">
        <v>0.0</v>
      </c>
      <c r="L140" s="21">
        <f>sum(L138+K140)</f>
        <v>0</v>
      </c>
      <c r="N140" s="8">
        <v>11.0</v>
      </c>
      <c r="O140" s="20">
        <v>46371.0</v>
      </c>
      <c r="P140" s="22" t="s">
        <v>21</v>
      </c>
      <c r="Q140" s="21">
        <v>0.0</v>
      </c>
      <c r="R140" s="21">
        <f t="shared" ref="R140:R143" si="49">sum(R139+Q140)</f>
        <v>0</v>
      </c>
    </row>
    <row r="141">
      <c r="B141" s="8">
        <v>12.0</v>
      </c>
      <c r="C141" s="20">
        <v>46311.0</v>
      </c>
      <c r="D141" s="22" t="s">
        <v>20</v>
      </c>
      <c r="E141" s="21">
        <v>0.0</v>
      </c>
      <c r="F141" s="21">
        <f t="shared" si="48"/>
        <v>0</v>
      </c>
      <c r="H141" s="8">
        <v>12.0</v>
      </c>
      <c r="I141" s="30">
        <v>46343.0</v>
      </c>
      <c r="J141" s="22" t="s">
        <v>21</v>
      </c>
      <c r="K141" s="21">
        <v>0.0</v>
      </c>
      <c r="L141" s="21">
        <f t="shared" ref="L141:L144" si="50">sum(L140+K141)</f>
        <v>0</v>
      </c>
      <c r="N141" s="8">
        <v>12.0</v>
      </c>
      <c r="O141" s="20">
        <v>46372.0</v>
      </c>
      <c r="P141" s="22" t="s">
        <v>22</v>
      </c>
      <c r="Q141" s="21">
        <v>0.0</v>
      </c>
      <c r="R141" s="21">
        <f t="shared" si="49"/>
        <v>0</v>
      </c>
    </row>
    <row r="142">
      <c r="E142" s="21"/>
      <c r="F142" s="21"/>
      <c r="H142" s="8">
        <v>13.0</v>
      </c>
      <c r="I142" s="30">
        <v>46344.0</v>
      </c>
      <c r="J142" s="22" t="s">
        <v>22</v>
      </c>
      <c r="K142" s="21">
        <v>0.0</v>
      </c>
      <c r="L142" s="21">
        <f t="shared" si="50"/>
        <v>0</v>
      </c>
      <c r="N142" s="8">
        <v>13.0</v>
      </c>
      <c r="O142" s="20">
        <v>46373.0</v>
      </c>
      <c r="P142" s="22" t="s">
        <v>18</v>
      </c>
      <c r="Q142" s="21">
        <v>0.0</v>
      </c>
      <c r="R142" s="21">
        <f t="shared" si="49"/>
        <v>0</v>
      </c>
    </row>
    <row r="143">
      <c r="B143" s="8">
        <v>13.0</v>
      </c>
      <c r="C143" s="20">
        <v>46314.0</v>
      </c>
      <c r="D143" s="22" t="s">
        <v>19</v>
      </c>
      <c r="E143" s="21">
        <v>0.0</v>
      </c>
      <c r="F143" s="21">
        <f>sum(F141+E143)</f>
        <v>0</v>
      </c>
      <c r="H143" s="8">
        <v>14.0</v>
      </c>
      <c r="I143" s="30">
        <v>46345.0</v>
      </c>
      <c r="J143" s="22" t="s">
        <v>18</v>
      </c>
      <c r="K143" s="21">
        <v>0.0</v>
      </c>
      <c r="L143" s="21">
        <f t="shared" si="50"/>
        <v>0</v>
      </c>
      <c r="N143" s="8">
        <v>14.0</v>
      </c>
      <c r="O143" s="20">
        <v>46374.0</v>
      </c>
      <c r="P143" s="22" t="s">
        <v>20</v>
      </c>
      <c r="Q143" s="21">
        <v>0.0</v>
      </c>
      <c r="R143" s="21">
        <f t="shared" si="49"/>
        <v>0</v>
      </c>
    </row>
    <row r="144">
      <c r="B144" s="8">
        <v>14.0</v>
      </c>
      <c r="C144" s="20">
        <v>46315.0</v>
      </c>
      <c r="D144" s="22" t="s">
        <v>21</v>
      </c>
      <c r="E144" s="21">
        <v>0.0</v>
      </c>
      <c r="F144" s="21">
        <f t="shared" ref="F144:F147" si="51">sum(F143+E144)</f>
        <v>0</v>
      </c>
      <c r="H144" s="8">
        <v>15.0</v>
      </c>
      <c r="I144" s="30">
        <v>46346.0</v>
      </c>
      <c r="J144" s="22" t="s">
        <v>20</v>
      </c>
      <c r="K144" s="21">
        <v>0.0</v>
      </c>
      <c r="L144" s="21">
        <f t="shared" si="50"/>
        <v>0</v>
      </c>
      <c r="Q144" s="21"/>
      <c r="R144" s="21"/>
    </row>
    <row r="145">
      <c r="B145" s="8">
        <v>15.0</v>
      </c>
      <c r="C145" s="20">
        <v>46316.0</v>
      </c>
      <c r="D145" s="22" t="s">
        <v>22</v>
      </c>
      <c r="E145" s="21">
        <v>0.0</v>
      </c>
      <c r="F145" s="21">
        <f t="shared" si="51"/>
        <v>0</v>
      </c>
      <c r="K145" s="21"/>
      <c r="L145" s="21"/>
      <c r="N145" s="8">
        <v>15.0</v>
      </c>
      <c r="O145" s="20">
        <v>46377.0</v>
      </c>
      <c r="P145" s="22" t="s">
        <v>19</v>
      </c>
      <c r="Q145" s="21">
        <v>0.0</v>
      </c>
      <c r="R145" s="21">
        <f>sum(R143+Q145)</f>
        <v>0</v>
      </c>
    </row>
    <row r="146">
      <c r="B146" s="8">
        <v>16.0</v>
      </c>
      <c r="C146" s="20">
        <v>46317.0</v>
      </c>
      <c r="D146" s="22" t="s">
        <v>18</v>
      </c>
      <c r="E146" s="21">
        <v>0.0</v>
      </c>
      <c r="F146" s="21">
        <f t="shared" si="51"/>
        <v>0</v>
      </c>
      <c r="H146" s="8">
        <v>16.0</v>
      </c>
      <c r="I146" s="30">
        <v>46349.0</v>
      </c>
      <c r="J146" s="22" t="s">
        <v>19</v>
      </c>
      <c r="K146" s="21">
        <v>0.0</v>
      </c>
      <c r="L146" s="21">
        <f>sum(L144+K146)</f>
        <v>0</v>
      </c>
      <c r="N146" s="8">
        <v>16.0</v>
      </c>
      <c r="O146" s="20">
        <v>46378.0</v>
      </c>
      <c r="P146" s="22" t="s">
        <v>21</v>
      </c>
      <c r="Q146" s="21">
        <v>0.0</v>
      </c>
      <c r="R146" s="21">
        <f t="shared" ref="R146:R149" si="52">sum(R145+Q146)</f>
        <v>0</v>
      </c>
    </row>
    <row r="147">
      <c r="B147" s="8">
        <v>17.0</v>
      </c>
      <c r="C147" s="20">
        <v>46318.0</v>
      </c>
      <c r="D147" s="22" t="s">
        <v>20</v>
      </c>
      <c r="E147" s="21">
        <v>0.0</v>
      </c>
      <c r="F147" s="21">
        <f t="shared" si="51"/>
        <v>0</v>
      </c>
      <c r="H147" s="8">
        <v>17.0</v>
      </c>
      <c r="I147" s="30">
        <v>46350.0</v>
      </c>
      <c r="J147" s="22" t="s">
        <v>21</v>
      </c>
      <c r="K147" s="21">
        <v>0.0</v>
      </c>
      <c r="L147" s="21">
        <f t="shared" ref="L147:L150" si="53">sum(L146+K147)</f>
        <v>0</v>
      </c>
      <c r="N147" s="8">
        <v>17.0</v>
      </c>
      <c r="O147" s="20">
        <v>46379.0</v>
      </c>
      <c r="P147" s="22" t="s">
        <v>22</v>
      </c>
      <c r="Q147" s="21">
        <v>0.0</v>
      </c>
      <c r="R147" s="21">
        <f t="shared" si="52"/>
        <v>0</v>
      </c>
    </row>
    <row r="148">
      <c r="E148" s="21"/>
      <c r="F148" s="21"/>
      <c r="H148" s="8">
        <v>18.0</v>
      </c>
      <c r="I148" s="30">
        <v>46351.0</v>
      </c>
      <c r="J148" s="22" t="s">
        <v>22</v>
      </c>
      <c r="K148" s="21">
        <v>0.0</v>
      </c>
      <c r="L148" s="21">
        <f t="shared" si="53"/>
        <v>0</v>
      </c>
      <c r="N148" s="8">
        <v>18.0</v>
      </c>
      <c r="O148" s="20">
        <v>46380.0</v>
      </c>
      <c r="P148" s="22" t="s">
        <v>18</v>
      </c>
      <c r="Q148" s="21">
        <v>0.0</v>
      </c>
      <c r="R148" s="21">
        <f t="shared" si="52"/>
        <v>0</v>
      </c>
    </row>
    <row r="149">
      <c r="B149" s="8">
        <v>18.0</v>
      </c>
      <c r="C149" s="20">
        <v>46321.0</v>
      </c>
      <c r="D149" s="22" t="s">
        <v>19</v>
      </c>
      <c r="E149" s="21">
        <v>0.0</v>
      </c>
      <c r="F149" s="21">
        <f>sum(F147+E149)</f>
        <v>0</v>
      </c>
      <c r="H149" s="8">
        <v>19.0</v>
      </c>
      <c r="I149" s="30">
        <v>46352.0</v>
      </c>
      <c r="J149" s="22" t="s">
        <v>18</v>
      </c>
      <c r="K149" s="21">
        <v>0.0</v>
      </c>
      <c r="L149" s="21">
        <f t="shared" si="53"/>
        <v>0</v>
      </c>
      <c r="N149" s="8">
        <v>19.0</v>
      </c>
      <c r="O149" s="20">
        <v>46381.0</v>
      </c>
      <c r="P149" s="22" t="s">
        <v>20</v>
      </c>
      <c r="Q149" s="21">
        <v>0.0</v>
      </c>
      <c r="R149" s="21">
        <f t="shared" si="52"/>
        <v>0</v>
      </c>
    </row>
    <row r="150">
      <c r="B150" s="8">
        <v>19.0</v>
      </c>
      <c r="C150" s="20">
        <v>46322.0</v>
      </c>
      <c r="D150" s="22" t="s">
        <v>21</v>
      </c>
      <c r="E150" s="21">
        <v>0.0</v>
      </c>
      <c r="F150" s="21">
        <f t="shared" ref="F150:F153" si="54">sum(F149+E150)</f>
        <v>0</v>
      </c>
      <c r="H150" s="8">
        <v>20.0</v>
      </c>
      <c r="I150" s="30">
        <v>46353.0</v>
      </c>
      <c r="J150" s="22" t="s">
        <v>20</v>
      </c>
      <c r="K150" s="21">
        <v>0.0</v>
      </c>
      <c r="L150" s="21">
        <f t="shared" si="53"/>
        <v>0</v>
      </c>
      <c r="Q150" s="21"/>
      <c r="R150" s="21"/>
    </row>
    <row r="151">
      <c r="B151" s="8">
        <v>20.0</v>
      </c>
      <c r="C151" s="20">
        <v>46323.0</v>
      </c>
      <c r="D151" s="22" t="s">
        <v>22</v>
      </c>
      <c r="E151" s="21">
        <v>0.0</v>
      </c>
      <c r="F151" s="21">
        <f t="shared" si="54"/>
        <v>0</v>
      </c>
      <c r="K151" s="21"/>
      <c r="L151" s="21"/>
      <c r="N151" s="8">
        <v>20.0</v>
      </c>
      <c r="O151" s="20">
        <v>46384.0</v>
      </c>
      <c r="P151" s="22" t="s">
        <v>19</v>
      </c>
      <c r="Q151" s="21">
        <v>0.0</v>
      </c>
      <c r="R151" s="21">
        <f>sum(R149+Q151)</f>
        <v>0</v>
      </c>
    </row>
    <row r="152">
      <c r="B152" s="8">
        <v>21.0</v>
      </c>
      <c r="C152" s="20">
        <v>46324.0</v>
      </c>
      <c r="D152" s="22" t="s">
        <v>18</v>
      </c>
      <c r="E152" s="21">
        <v>0.0</v>
      </c>
      <c r="F152" s="21">
        <f t="shared" si="54"/>
        <v>0</v>
      </c>
      <c r="H152" s="8">
        <v>21.0</v>
      </c>
      <c r="I152" s="30">
        <v>46356.0</v>
      </c>
      <c r="J152" s="22" t="s">
        <v>19</v>
      </c>
      <c r="K152" s="21">
        <v>0.0</v>
      </c>
      <c r="L152" s="21">
        <f>sum(L150+K152)</f>
        <v>0</v>
      </c>
      <c r="N152" s="8">
        <v>21.0</v>
      </c>
      <c r="O152" s="20">
        <v>46385.0</v>
      </c>
      <c r="P152" s="22" t="s">
        <v>21</v>
      </c>
      <c r="Q152" s="21">
        <v>0.0</v>
      </c>
      <c r="R152" s="21">
        <f t="shared" ref="R152:R154" si="55">sum(R151+Q152)</f>
        <v>0</v>
      </c>
    </row>
    <row r="153">
      <c r="B153" s="8">
        <v>22.0</v>
      </c>
      <c r="C153" s="20">
        <v>46325.0</v>
      </c>
      <c r="D153" s="22" t="s">
        <v>20</v>
      </c>
      <c r="E153" s="21">
        <v>0.0</v>
      </c>
      <c r="F153" s="21">
        <f t="shared" si="54"/>
        <v>0</v>
      </c>
      <c r="H153" s="13" t="s">
        <v>41</v>
      </c>
      <c r="K153" s="23">
        <f>L152</f>
        <v>0</v>
      </c>
      <c r="N153" s="8">
        <v>22.0</v>
      </c>
      <c r="O153" s="20">
        <v>46386.0</v>
      </c>
      <c r="P153" s="22" t="s">
        <v>22</v>
      </c>
      <c r="Q153" s="21">
        <v>0.0</v>
      </c>
      <c r="R153" s="21">
        <f t="shared" si="55"/>
        <v>0</v>
      </c>
    </row>
    <row r="154">
      <c r="B154" s="13" t="s">
        <v>42</v>
      </c>
      <c r="E154" s="23">
        <f>F153</f>
        <v>0</v>
      </c>
      <c r="N154" s="8">
        <v>23.0</v>
      </c>
      <c r="O154" s="20">
        <v>46387.0</v>
      </c>
      <c r="P154" s="22" t="s">
        <v>18</v>
      </c>
      <c r="Q154" s="21">
        <v>0.0</v>
      </c>
      <c r="R154" s="21">
        <f t="shared" si="55"/>
        <v>0</v>
      </c>
    </row>
    <row r="155">
      <c r="I155" s="20"/>
      <c r="N155" s="13" t="s">
        <v>43</v>
      </c>
      <c r="Q155" s="23">
        <f>R154</f>
        <v>0</v>
      </c>
    </row>
  </sheetData>
  <mergeCells count="42">
    <mergeCell ref="A3:G19"/>
    <mergeCell ref="I3:L5"/>
    <mergeCell ref="N3:S4"/>
    <mergeCell ref="I6:J7"/>
    <mergeCell ref="N19:O19"/>
    <mergeCell ref="B24:R26"/>
    <mergeCell ref="B28:F29"/>
    <mergeCell ref="B57:D57"/>
    <mergeCell ref="B60:F61"/>
    <mergeCell ref="H60:L61"/>
    <mergeCell ref="N60:R61"/>
    <mergeCell ref="H28:L29"/>
    <mergeCell ref="N28:R29"/>
    <mergeCell ref="H54:J54"/>
    <mergeCell ref="K54:L54"/>
    <mergeCell ref="E57:F57"/>
    <mergeCell ref="N57:P57"/>
    <mergeCell ref="Q57:R57"/>
    <mergeCell ref="H88:J88"/>
    <mergeCell ref="K88:L88"/>
    <mergeCell ref="B89:D89"/>
    <mergeCell ref="E89:F89"/>
    <mergeCell ref="N89:P89"/>
    <mergeCell ref="Q89:R89"/>
    <mergeCell ref="B92:F93"/>
    <mergeCell ref="B122:D122"/>
    <mergeCell ref="B125:F126"/>
    <mergeCell ref="H125:L126"/>
    <mergeCell ref="N125:R126"/>
    <mergeCell ref="H153:J153"/>
    <mergeCell ref="K153:L153"/>
    <mergeCell ref="B154:D154"/>
    <mergeCell ref="E154:F154"/>
    <mergeCell ref="N155:P155"/>
    <mergeCell ref="Q155:R155"/>
    <mergeCell ref="H92:L93"/>
    <mergeCell ref="N92:R93"/>
    <mergeCell ref="H120:J120"/>
    <mergeCell ref="K120:L120"/>
    <mergeCell ref="N121:P121"/>
    <mergeCell ref="Q121:R121"/>
    <mergeCell ref="E122:F12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.13"/>
    <col customWidth="1" min="3" max="3" width="18.13"/>
    <col customWidth="1" min="4" max="4" width="15.88"/>
    <col customWidth="1" min="8" max="8" width="3.75"/>
    <col customWidth="1" min="9" max="9" width="16.38"/>
    <col customWidth="1" min="10" max="10" width="14.75"/>
    <col customWidth="1" min="11" max="12" width="13.5"/>
    <col customWidth="1" min="14" max="14" width="3.63"/>
    <col customWidth="1" min="15" max="15" width="16.38"/>
    <col customWidth="1" min="16" max="16" width="14.5"/>
    <col customWidth="1" min="17" max="18" width="13.63"/>
  </cols>
  <sheetData>
    <row r="3">
      <c r="A3" s="1" t="s">
        <v>44</v>
      </c>
      <c r="I3" s="2" t="s">
        <v>1</v>
      </c>
      <c r="N3" s="3" t="s">
        <v>2</v>
      </c>
    </row>
    <row r="6">
      <c r="H6" s="4"/>
      <c r="I6" s="5">
        <v>1200000.0</v>
      </c>
      <c r="N6" s="6" t="s">
        <v>6</v>
      </c>
      <c r="O6" s="6" t="s">
        <v>7</v>
      </c>
      <c r="P6" s="7" t="s">
        <v>8</v>
      </c>
      <c r="Q6" s="6" t="s">
        <v>9</v>
      </c>
      <c r="R6" s="6" t="s">
        <v>10</v>
      </c>
      <c r="S6" s="6" t="s">
        <v>11</v>
      </c>
    </row>
    <row r="7">
      <c r="H7" s="4"/>
      <c r="N7" s="8">
        <v>1.0</v>
      </c>
      <c r="O7" s="9">
        <v>46023.0</v>
      </c>
      <c r="P7" s="10">
        <f t="shared" ref="P7:P18" si="1">$I$6</f>
        <v>1200000</v>
      </c>
      <c r="Q7" s="11">
        <f>E57</f>
        <v>520000</v>
      </c>
      <c r="R7" s="11">
        <f t="shared" ref="R7:R18" si="2">sum(Q7-P7)</f>
        <v>-680000</v>
      </c>
      <c r="S7" s="8"/>
    </row>
    <row r="8">
      <c r="H8" s="4"/>
      <c r="N8" s="8">
        <v>2.0</v>
      </c>
      <c r="O8" s="9">
        <v>46054.0</v>
      </c>
      <c r="P8" s="10">
        <f t="shared" si="1"/>
        <v>1200000</v>
      </c>
      <c r="Q8" s="11">
        <f>K54</f>
        <v>650000</v>
      </c>
      <c r="R8" s="11">
        <f t="shared" si="2"/>
        <v>-550000</v>
      </c>
      <c r="S8" s="12"/>
    </row>
    <row r="9">
      <c r="H9" s="4"/>
      <c r="N9" s="8">
        <v>3.0</v>
      </c>
      <c r="O9" s="9">
        <v>46082.0</v>
      </c>
      <c r="P9" s="10">
        <f t="shared" si="1"/>
        <v>1200000</v>
      </c>
      <c r="Q9" s="11">
        <f>Q57</f>
        <v>525000</v>
      </c>
      <c r="R9" s="11">
        <f t="shared" si="2"/>
        <v>-675000</v>
      </c>
      <c r="S9" s="12"/>
    </row>
    <row r="10">
      <c r="H10" s="4"/>
      <c r="N10" s="8">
        <v>4.0</v>
      </c>
      <c r="O10" s="9">
        <v>46113.0</v>
      </c>
      <c r="P10" s="10">
        <f t="shared" si="1"/>
        <v>1200000</v>
      </c>
      <c r="Q10" s="11">
        <f>E89</f>
        <v>1850000</v>
      </c>
      <c r="R10" s="11">
        <f t="shared" si="2"/>
        <v>650000</v>
      </c>
      <c r="S10" s="12"/>
    </row>
    <row r="11">
      <c r="H11" s="4"/>
      <c r="N11" s="8">
        <v>5.0</v>
      </c>
      <c r="O11" s="9">
        <v>46143.0</v>
      </c>
      <c r="P11" s="10">
        <f t="shared" si="1"/>
        <v>1200000</v>
      </c>
      <c r="Q11" s="11">
        <f>K88</f>
        <v>1460000</v>
      </c>
      <c r="R11" s="11">
        <f t="shared" si="2"/>
        <v>260000</v>
      </c>
      <c r="S11" s="12"/>
    </row>
    <row r="12">
      <c r="H12" s="4"/>
      <c r="N12" s="8">
        <v>6.0</v>
      </c>
      <c r="O12" s="9">
        <v>46174.0</v>
      </c>
      <c r="P12" s="10">
        <f t="shared" si="1"/>
        <v>1200000</v>
      </c>
      <c r="Q12" s="11">
        <f>Q89</f>
        <v>1580000</v>
      </c>
      <c r="R12" s="11">
        <f t="shared" si="2"/>
        <v>380000</v>
      </c>
      <c r="S12" s="12"/>
    </row>
    <row r="13">
      <c r="H13" s="4"/>
      <c r="N13" s="8">
        <v>7.0</v>
      </c>
      <c r="O13" s="9">
        <v>46204.0</v>
      </c>
      <c r="P13" s="10">
        <f t="shared" si="1"/>
        <v>1200000</v>
      </c>
      <c r="Q13" s="11">
        <f>E122</f>
        <v>1200000</v>
      </c>
      <c r="R13" s="11">
        <f t="shared" si="2"/>
        <v>0</v>
      </c>
      <c r="S13" s="12"/>
    </row>
    <row r="14">
      <c r="H14" s="4"/>
      <c r="N14" s="8">
        <v>8.0</v>
      </c>
      <c r="O14" s="9">
        <v>46235.0</v>
      </c>
      <c r="P14" s="10">
        <f t="shared" si="1"/>
        <v>1200000</v>
      </c>
      <c r="Q14" s="11">
        <f>K120</f>
        <v>700000</v>
      </c>
      <c r="R14" s="11">
        <f t="shared" si="2"/>
        <v>-500000</v>
      </c>
      <c r="S14" s="12"/>
    </row>
    <row r="15">
      <c r="H15" s="4"/>
      <c r="N15" s="8">
        <v>9.0</v>
      </c>
      <c r="O15" s="9">
        <v>46266.0</v>
      </c>
      <c r="P15" s="10">
        <f t="shared" si="1"/>
        <v>1200000</v>
      </c>
      <c r="Q15" s="11">
        <f>Q121</f>
        <v>0</v>
      </c>
      <c r="R15" s="11">
        <f t="shared" si="2"/>
        <v>-1200000</v>
      </c>
      <c r="S15" s="12"/>
    </row>
    <row r="16">
      <c r="H16" s="4"/>
      <c r="N16" s="8">
        <v>10.0</v>
      </c>
      <c r="O16" s="9">
        <v>46296.0</v>
      </c>
      <c r="P16" s="10">
        <f t="shared" si="1"/>
        <v>1200000</v>
      </c>
      <c r="Q16" s="11">
        <f>E154</f>
        <v>0</v>
      </c>
      <c r="R16" s="11">
        <f t="shared" si="2"/>
        <v>-1200000</v>
      </c>
      <c r="S16" s="12"/>
    </row>
    <row r="17">
      <c r="N17" s="8">
        <v>11.0</v>
      </c>
      <c r="O17" s="9">
        <v>46327.0</v>
      </c>
      <c r="P17" s="10">
        <f t="shared" si="1"/>
        <v>1200000</v>
      </c>
      <c r="Q17" s="11">
        <f>K153</f>
        <v>0</v>
      </c>
      <c r="R17" s="11">
        <f t="shared" si="2"/>
        <v>-1200000</v>
      </c>
      <c r="S17" s="12"/>
    </row>
    <row r="18">
      <c r="N18" s="8">
        <v>12.0</v>
      </c>
      <c r="O18" s="9">
        <v>46357.0</v>
      </c>
      <c r="P18" s="10">
        <f t="shared" si="1"/>
        <v>1200000</v>
      </c>
      <c r="Q18" s="11">
        <f>Q155</f>
        <v>0</v>
      </c>
      <c r="R18" s="11">
        <f t="shared" si="2"/>
        <v>-1200000</v>
      </c>
      <c r="S18" s="12"/>
    </row>
    <row r="19">
      <c r="N19" s="13" t="s">
        <v>12</v>
      </c>
      <c r="P19" s="14">
        <f>sum(P7:P18)</f>
        <v>14400000</v>
      </c>
      <c r="Q19" s="15">
        <f t="shared" ref="Q19:R19" si="3">SUM(Q7:Q18)</f>
        <v>8485000</v>
      </c>
      <c r="R19" s="14">
        <f t="shared" si="3"/>
        <v>-5915000</v>
      </c>
      <c r="S19" s="16"/>
    </row>
    <row r="24">
      <c r="B24" s="17" t="s">
        <v>13</v>
      </c>
    </row>
    <row r="28">
      <c r="B28" s="18" t="s">
        <v>14</v>
      </c>
      <c r="H28" s="18" t="s">
        <v>15</v>
      </c>
      <c r="N28" s="18" t="s">
        <v>16</v>
      </c>
    </row>
    <row r="30">
      <c r="B30" s="19" t="s">
        <v>6</v>
      </c>
      <c r="C30" s="13" t="s">
        <v>17</v>
      </c>
      <c r="D30" s="13" t="s">
        <v>11</v>
      </c>
      <c r="E30" s="13" t="s">
        <v>9</v>
      </c>
      <c r="F30" s="13" t="s">
        <v>10</v>
      </c>
      <c r="H30" s="13" t="s">
        <v>6</v>
      </c>
      <c r="I30" s="13" t="s">
        <v>17</v>
      </c>
      <c r="J30" s="13" t="s">
        <v>11</v>
      </c>
      <c r="K30" s="13" t="s">
        <v>9</v>
      </c>
      <c r="L30" s="13" t="s">
        <v>10</v>
      </c>
      <c r="N30" s="13" t="s">
        <v>6</v>
      </c>
      <c r="O30" s="13" t="s">
        <v>17</v>
      </c>
      <c r="P30" s="13" t="s">
        <v>11</v>
      </c>
      <c r="Q30" s="13" t="s">
        <v>9</v>
      </c>
      <c r="R30" s="13" t="s">
        <v>10</v>
      </c>
    </row>
    <row r="31">
      <c r="B31" s="8">
        <v>1.0</v>
      </c>
      <c r="C31" s="20">
        <v>46023.0</v>
      </c>
      <c r="D31" s="12" t="s">
        <v>18</v>
      </c>
      <c r="E31" s="21">
        <v>0.0</v>
      </c>
      <c r="F31" s="21">
        <f>(E31)</f>
        <v>0</v>
      </c>
      <c r="H31" s="8">
        <v>1.0</v>
      </c>
      <c r="I31" s="20">
        <v>46055.0</v>
      </c>
      <c r="J31" s="12" t="s">
        <v>19</v>
      </c>
      <c r="K31" s="21">
        <v>25000.0</v>
      </c>
      <c r="L31" s="21">
        <f>K31</f>
        <v>25000</v>
      </c>
      <c r="N31" s="8">
        <v>1.0</v>
      </c>
      <c r="O31" s="20">
        <v>46083.0</v>
      </c>
      <c r="P31" s="12" t="s">
        <v>19</v>
      </c>
      <c r="Q31" s="21">
        <v>25000.0</v>
      </c>
      <c r="R31" s="21">
        <f>Q31</f>
        <v>25000</v>
      </c>
    </row>
    <row r="32">
      <c r="B32" s="8">
        <v>2.0</v>
      </c>
      <c r="C32" s="20">
        <v>46024.0</v>
      </c>
      <c r="D32" s="12" t="s">
        <v>20</v>
      </c>
      <c r="E32" s="21">
        <v>0.0</v>
      </c>
      <c r="F32" s="21">
        <f>sum(F31+E32)</f>
        <v>0</v>
      </c>
      <c r="H32" s="8">
        <v>2.0</v>
      </c>
      <c r="I32" s="20">
        <v>46056.0</v>
      </c>
      <c r="J32" s="12" t="s">
        <v>21</v>
      </c>
      <c r="K32" s="21">
        <v>25000.0</v>
      </c>
      <c r="L32" s="21">
        <f t="shared" ref="L32:L35" si="4">sum(L31+K32)</f>
        <v>50000</v>
      </c>
      <c r="N32" s="8">
        <v>2.0</v>
      </c>
      <c r="O32" s="20">
        <v>46084.0</v>
      </c>
      <c r="P32" s="12" t="s">
        <v>21</v>
      </c>
      <c r="Q32" s="21">
        <v>25000.0</v>
      </c>
      <c r="R32" s="21">
        <f t="shared" ref="R32:R35" si="5">sum(R31+Q32)</f>
        <v>50000</v>
      </c>
    </row>
    <row r="33">
      <c r="B33" s="12"/>
      <c r="C33" s="20"/>
      <c r="D33" s="12"/>
      <c r="E33" s="21"/>
      <c r="F33" s="21"/>
      <c r="H33" s="8">
        <v>3.0</v>
      </c>
      <c r="I33" s="20">
        <v>46057.0</v>
      </c>
      <c r="J33" s="12" t="s">
        <v>22</v>
      </c>
      <c r="K33" s="21">
        <v>25000.0</v>
      </c>
      <c r="L33" s="21">
        <f t="shared" si="4"/>
        <v>75000</v>
      </c>
      <c r="N33" s="8">
        <v>3.0</v>
      </c>
      <c r="O33" s="20">
        <v>46085.0</v>
      </c>
      <c r="P33" s="12" t="s">
        <v>22</v>
      </c>
      <c r="Q33" s="21">
        <v>25000.0</v>
      </c>
      <c r="R33" s="21">
        <f t="shared" si="5"/>
        <v>75000</v>
      </c>
    </row>
    <row r="34">
      <c r="B34" s="8">
        <v>3.0</v>
      </c>
      <c r="C34" s="20">
        <v>46027.0</v>
      </c>
      <c r="D34" s="12" t="s">
        <v>19</v>
      </c>
      <c r="E34" s="21">
        <v>25000.0</v>
      </c>
      <c r="F34" s="21">
        <f>sum(F32+E34)</f>
        <v>25000</v>
      </c>
      <c r="H34" s="8">
        <v>4.0</v>
      </c>
      <c r="I34" s="20">
        <v>46058.0</v>
      </c>
      <c r="J34" s="12" t="s">
        <v>18</v>
      </c>
      <c r="K34" s="21">
        <v>25000.0</v>
      </c>
      <c r="L34" s="21">
        <f t="shared" si="4"/>
        <v>100000</v>
      </c>
      <c r="N34" s="8">
        <v>4.0</v>
      </c>
      <c r="O34" s="20">
        <v>46086.0</v>
      </c>
      <c r="P34" s="12" t="s">
        <v>18</v>
      </c>
      <c r="Q34" s="21">
        <v>25000.0</v>
      </c>
      <c r="R34" s="21">
        <f t="shared" si="5"/>
        <v>100000</v>
      </c>
    </row>
    <row r="35">
      <c r="B35" s="8">
        <v>4.0</v>
      </c>
      <c r="C35" s="20">
        <v>46028.0</v>
      </c>
      <c r="D35" s="12" t="s">
        <v>21</v>
      </c>
      <c r="E35" s="21">
        <v>20000.0</v>
      </c>
      <c r="F35" s="21">
        <f t="shared" ref="F35:F38" si="6">sum(F34+E35)</f>
        <v>45000</v>
      </c>
      <c r="H35" s="8">
        <v>5.0</v>
      </c>
      <c r="I35" s="20">
        <v>46059.0</v>
      </c>
      <c r="J35" s="12" t="s">
        <v>20</v>
      </c>
      <c r="K35" s="21">
        <v>25000.0</v>
      </c>
      <c r="L35" s="21">
        <f t="shared" si="4"/>
        <v>125000</v>
      </c>
      <c r="N35" s="8">
        <v>5.0</v>
      </c>
      <c r="O35" s="20">
        <v>46087.0</v>
      </c>
      <c r="P35" s="12" t="s">
        <v>20</v>
      </c>
      <c r="Q35" s="21">
        <v>25000.0</v>
      </c>
      <c r="R35" s="21">
        <f t="shared" si="5"/>
        <v>125000</v>
      </c>
    </row>
    <row r="36">
      <c r="B36" s="8">
        <v>5.0</v>
      </c>
      <c r="C36" s="20">
        <v>46029.0</v>
      </c>
      <c r="D36" s="12" t="s">
        <v>22</v>
      </c>
      <c r="E36" s="21">
        <v>20000.0</v>
      </c>
      <c r="F36" s="21">
        <f t="shared" si="6"/>
        <v>65000</v>
      </c>
      <c r="H36" s="8"/>
      <c r="J36" s="12"/>
      <c r="K36" s="21"/>
      <c r="L36" s="21"/>
      <c r="N36" s="8"/>
      <c r="P36" s="12"/>
      <c r="Q36" s="21"/>
      <c r="R36" s="21"/>
    </row>
    <row r="37">
      <c r="B37" s="8">
        <v>6.0</v>
      </c>
      <c r="C37" s="20">
        <v>46030.0</v>
      </c>
      <c r="D37" s="12" t="s">
        <v>18</v>
      </c>
      <c r="E37" s="21">
        <v>20000.0</v>
      </c>
      <c r="F37" s="21">
        <f t="shared" si="6"/>
        <v>85000</v>
      </c>
      <c r="H37" s="8">
        <v>6.0</v>
      </c>
      <c r="I37" s="20">
        <v>46062.0</v>
      </c>
      <c r="J37" s="22" t="s">
        <v>19</v>
      </c>
      <c r="K37" s="21">
        <v>50000.0</v>
      </c>
      <c r="L37" s="21">
        <f>sum(L35+K37)</f>
        <v>175000</v>
      </c>
      <c r="N37" s="8">
        <v>6.0</v>
      </c>
      <c r="O37" s="20">
        <v>46090.0</v>
      </c>
      <c r="P37" s="22" t="s">
        <v>19</v>
      </c>
      <c r="Q37" s="21">
        <v>25000.0</v>
      </c>
      <c r="R37" s="21">
        <f>sum(R35+Q37)</f>
        <v>150000</v>
      </c>
    </row>
    <row r="38">
      <c r="B38" s="8">
        <v>7.0</v>
      </c>
      <c r="C38" s="20">
        <v>46031.0</v>
      </c>
      <c r="D38" s="12" t="s">
        <v>20</v>
      </c>
      <c r="E38" s="21">
        <v>20000.0</v>
      </c>
      <c r="F38" s="21">
        <f t="shared" si="6"/>
        <v>105000</v>
      </c>
      <c r="H38" s="8">
        <v>7.0</v>
      </c>
      <c r="I38" s="20">
        <v>46063.0</v>
      </c>
      <c r="J38" s="22" t="s">
        <v>21</v>
      </c>
      <c r="K38" s="21">
        <v>50000.0</v>
      </c>
      <c r="L38" s="21">
        <f t="shared" ref="L38:L41" si="7">sum(L37+K38)</f>
        <v>225000</v>
      </c>
      <c r="N38" s="8">
        <v>7.0</v>
      </c>
      <c r="O38" s="20">
        <v>46091.0</v>
      </c>
      <c r="P38" s="22" t="s">
        <v>21</v>
      </c>
      <c r="Q38" s="21">
        <v>25000.0</v>
      </c>
      <c r="R38" s="21">
        <f t="shared" ref="R38:R41" si="8">sum(R37+Q38)</f>
        <v>175000</v>
      </c>
    </row>
    <row r="39">
      <c r="B39" s="12"/>
      <c r="E39" s="21"/>
      <c r="F39" s="21"/>
      <c r="H39" s="8">
        <v>8.0</v>
      </c>
      <c r="I39" s="20">
        <v>46064.0</v>
      </c>
      <c r="J39" s="22" t="s">
        <v>22</v>
      </c>
      <c r="K39" s="21">
        <v>50000.0</v>
      </c>
      <c r="L39" s="21">
        <f t="shared" si="7"/>
        <v>275000</v>
      </c>
      <c r="N39" s="8">
        <v>8.0</v>
      </c>
      <c r="O39" s="20">
        <v>46092.0</v>
      </c>
      <c r="P39" s="22" t="s">
        <v>22</v>
      </c>
      <c r="Q39" s="21">
        <v>50000.0</v>
      </c>
      <c r="R39" s="21">
        <f t="shared" si="8"/>
        <v>225000</v>
      </c>
    </row>
    <row r="40">
      <c r="B40" s="8">
        <v>8.0</v>
      </c>
      <c r="C40" s="20">
        <v>46034.0</v>
      </c>
      <c r="D40" s="12" t="s">
        <v>19</v>
      </c>
      <c r="E40" s="21">
        <v>25000.0</v>
      </c>
      <c r="F40" s="21">
        <f>sum(F38+E40)</f>
        <v>130000</v>
      </c>
      <c r="H40" s="8">
        <v>9.0</v>
      </c>
      <c r="I40" s="20">
        <v>46065.0</v>
      </c>
      <c r="J40" s="22" t="s">
        <v>18</v>
      </c>
      <c r="K40" s="21">
        <v>50000.0</v>
      </c>
      <c r="L40" s="21">
        <f t="shared" si="7"/>
        <v>325000</v>
      </c>
      <c r="N40" s="8">
        <v>9.0</v>
      </c>
      <c r="O40" s="20">
        <v>46093.0</v>
      </c>
      <c r="P40" s="22" t="s">
        <v>18</v>
      </c>
      <c r="Q40" s="21">
        <v>50000.0</v>
      </c>
      <c r="R40" s="21">
        <f t="shared" si="8"/>
        <v>275000</v>
      </c>
    </row>
    <row r="41">
      <c r="B41" s="8">
        <v>9.0</v>
      </c>
      <c r="C41" s="20">
        <v>46035.0</v>
      </c>
      <c r="D41" s="12" t="s">
        <v>21</v>
      </c>
      <c r="E41" s="21">
        <v>25000.0</v>
      </c>
      <c r="F41" s="21">
        <f t="shared" ref="F41:F44" si="9">sum(F40+E41)</f>
        <v>155000</v>
      </c>
      <c r="H41" s="8">
        <v>10.0</v>
      </c>
      <c r="I41" s="20">
        <v>46066.0</v>
      </c>
      <c r="J41" s="22" t="s">
        <v>20</v>
      </c>
      <c r="K41" s="21">
        <v>50000.0</v>
      </c>
      <c r="L41" s="21">
        <f t="shared" si="7"/>
        <v>375000</v>
      </c>
      <c r="N41" s="8">
        <v>10.0</v>
      </c>
      <c r="O41" s="20">
        <v>46094.0</v>
      </c>
      <c r="P41" s="22" t="s">
        <v>20</v>
      </c>
      <c r="Q41" s="21">
        <v>50000.0</v>
      </c>
      <c r="R41" s="21">
        <f t="shared" si="8"/>
        <v>325000</v>
      </c>
    </row>
    <row r="42">
      <c r="B42" s="8">
        <v>10.0</v>
      </c>
      <c r="C42" s="20">
        <v>46036.0</v>
      </c>
      <c r="D42" s="12" t="s">
        <v>22</v>
      </c>
      <c r="E42" s="21">
        <v>25000.0</v>
      </c>
      <c r="F42" s="21">
        <f t="shared" si="9"/>
        <v>180000</v>
      </c>
      <c r="H42" s="8"/>
      <c r="J42" s="12"/>
      <c r="K42" s="21"/>
      <c r="L42" s="21"/>
      <c r="N42" s="8"/>
      <c r="P42" s="12"/>
      <c r="Q42" s="21"/>
      <c r="R42" s="21"/>
    </row>
    <row r="43">
      <c r="B43" s="8">
        <v>11.0</v>
      </c>
      <c r="C43" s="20">
        <v>46037.0</v>
      </c>
      <c r="D43" s="12" t="s">
        <v>18</v>
      </c>
      <c r="E43" s="21">
        <v>20000.0</v>
      </c>
      <c r="F43" s="21">
        <f t="shared" si="9"/>
        <v>200000</v>
      </c>
      <c r="H43" s="8">
        <v>11.0</v>
      </c>
      <c r="I43" s="20">
        <v>46069.0</v>
      </c>
      <c r="J43" s="22" t="s">
        <v>19</v>
      </c>
      <c r="K43" s="21">
        <v>0.0</v>
      </c>
      <c r="L43" s="21">
        <f>sum(L41+K43)</f>
        <v>375000</v>
      </c>
      <c r="N43" s="8">
        <v>11.0</v>
      </c>
      <c r="O43" s="20">
        <v>46097.0</v>
      </c>
      <c r="P43" s="22" t="s">
        <v>19</v>
      </c>
      <c r="Q43" s="21">
        <v>0.0</v>
      </c>
      <c r="R43" s="21">
        <f>sum(R41+Q43)</f>
        <v>325000</v>
      </c>
    </row>
    <row r="44">
      <c r="B44" s="8">
        <v>12.0</v>
      </c>
      <c r="C44" s="20">
        <v>46038.0</v>
      </c>
      <c r="D44" s="12" t="s">
        <v>20</v>
      </c>
      <c r="E44" s="21">
        <v>0.0</v>
      </c>
      <c r="F44" s="21">
        <f t="shared" si="9"/>
        <v>200000</v>
      </c>
      <c r="H44" s="8">
        <v>12.0</v>
      </c>
      <c r="I44" s="20">
        <v>46070.0</v>
      </c>
      <c r="J44" s="22" t="s">
        <v>21</v>
      </c>
      <c r="K44" s="21">
        <v>0.0</v>
      </c>
      <c r="L44" s="21">
        <f t="shared" ref="L44:L47" si="10">sum(L43+K44)</f>
        <v>375000</v>
      </c>
      <c r="N44" s="8">
        <v>12.0</v>
      </c>
      <c r="O44" s="20">
        <v>46098.0</v>
      </c>
      <c r="P44" s="22" t="s">
        <v>21</v>
      </c>
      <c r="Q44" s="21">
        <v>0.0</v>
      </c>
      <c r="R44" s="21">
        <f t="shared" ref="R44:R47" si="11">sum(R43+Q44)</f>
        <v>325000</v>
      </c>
    </row>
    <row r="45">
      <c r="B45" s="12"/>
      <c r="E45" s="21"/>
      <c r="F45" s="21"/>
      <c r="H45" s="8">
        <v>13.0</v>
      </c>
      <c r="I45" s="20">
        <v>46071.0</v>
      </c>
      <c r="J45" s="22" t="s">
        <v>22</v>
      </c>
      <c r="K45" s="21">
        <v>100000.0</v>
      </c>
      <c r="L45" s="21">
        <f t="shared" si="10"/>
        <v>475000</v>
      </c>
      <c r="N45" s="8">
        <v>13.0</v>
      </c>
      <c r="O45" s="20">
        <v>46099.0</v>
      </c>
      <c r="P45" s="22" t="s">
        <v>22</v>
      </c>
      <c r="Q45" s="21">
        <v>0.0</v>
      </c>
      <c r="R45" s="21">
        <f t="shared" si="11"/>
        <v>325000</v>
      </c>
    </row>
    <row r="46">
      <c r="B46" s="8">
        <v>13.0</v>
      </c>
      <c r="C46" s="20">
        <v>46041.0</v>
      </c>
      <c r="D46" s="12" t="s">
        <v>19</v>
      </c>
      <c r="E46" s="21">
        <v>25000.0</v>
      </c>
      <c r="F46" s="21">
        <f>sum(F44+E46)</f>
        <v>225000</v>
      </c>
      <c r="H46" s="8">
        <v>14.0</v>
      </c>
      <c r="I46" s="20">
        <v>46072.0</v>
      </c>
      <c r="J46" s="22" t="s">
        <v>18</v>
      </c>
      <c r="K46" s="21">
        <v>25000.0</v>
      </c>
      <c r="L46" s="21">
        <f t="shared" si="10"/>
        <v>500000</v>
      </c>
      <c r="N46" s="8">
        <v>14.0</v>
      </c>
      <c r="O46" s="20">
        <v>46100.0</v>
      </c>
      <c r="P46" s="22" t="s">
        <v>18</v>
      </c>
      <c r="Q46" s="21">
        <v>0.0</v>
      </c>
      <c r="R46" s="21">
        <f t="shared" si="11"/>
        <v>325000</v>
      </c>
    </row>
    <row r="47">
      <c r="B47" s="8">
        <v>14.0</v>
      </c>
      <c r="C47" s="20">
        <v>46042.0</v>
      </c>
      <c r="D47" s="12" t="s">
        <v>21</v>
      </c>
      <c r="E47" s="21">
        <v>25000.0</v>
      </c>
      <c r="F47" s="21">
        <f t="shared" ref="F47:F50" si="12">sum(F46+E47)</f>
        <v>250000</v>
      </c>
      <c r="H47" s="8">
        <v>15.0</v>
      </c>
      <c r="I47" s="20">
        <v>46073.0</v>
      </c>
      <c r="J47" s="22" t="s">
        <v>20</v>
      </c>
      <c r="K47" s="21">
        <v>25000.0</v>
      </c>
      <c r="L47" s="21">
        <f t="shared" si="10"/>
        <v>525000</v>
      </c>
      <c r="N47" s="8">
        <v>15.0</v>
      </c>
      <c r="O47" s="20">
        <v>46101.0</v>
      </c>
      <c r="P47" s="22" t="s">
        <v>20</v>
      </c>
      <c r="Q47" s="21">
        <v>0.0</v>
      </c>
      <c r="R47" s="21">
        <f t="shared" si="11"/>
        <v>325000</v>
      </c>
    </row>
    <row r="48">
      <c r="B48" s="8">
        <v>15.0</v>
      </c>
      <c r="C48" s="20">
        <v>46043.0</v>
      </c>
      <c r="D48" s="12" t="s">
        <v>22</v>
      </c>
      <c r="E48" s="21">
        <v>25000.0</v>
      </c>
      <c r="F48" s="21">
        <f t="shared" si="12"/>
        <v>275000</v>
      </c>
      <c r="H48" s="8"/>
      <c r="J48" s="12"/>
      <c r="K48" s="21"/>
      <c r="L48" s="21"/>
      <c r="N48" s="8"/>
      <c r="P48" s="12"/>
      <c r="Q48" s="21"/>
      <c r="R48" s="21"/>
    </row>
    <row r="49">
      <c r="B49" s="8">
        <v>16.0</v>
      </c>
      <c r="C49" s="20">
        <v>46044.0</v>
      </c>
      <c r="D49" s="12" t="s">
        <v>18</v>
      </c>
      <c r="E49" s="21">
        <v>20000.0</v>
      </c>
      <c r="F49" s="21">
        <f t="shared" si="12"/>
        <v>295000</v>
      </c>
      <c r="H49" s="8">
        <v>16.0</v>
      </c>
      <c r="I49" s="20">
        <v>46076.0</v>
      </c>
      <c r="J49" s="22" t="s">
        <v>19</v>
      </c>
      <c r="K49" s="21">
        <v>25000.0</v>
      </c>
      <c r="L49" s="21">
        <f>sum(L47+K49)</f>
        <v>550000</v>
      </c>
      <c r="N49" s="8">
        <v>16.0</v>
      </c>
      <c r="O49" s="20">
        <v>46104.0</v>
      </c>
      <c r="P49" s="22" t="s">
        <v>19</v>
      </c>
      <c r="Q49" s="21">
        <v>0.0</v>
      </c>
      <c r="R49" s="21">
        <f>sum(R47+Q49)</f>
        <v>325000</v>
      </c>
    </row>
    <row r="50">
      <c r="B50" s="8">
        <v>17.0</v>
      </c>
      <c r="C50" s="20">
        <v>46045.0</v>
      </c>
      <c r="D50" s="12" t="s">
        <v>20</v>
      </c>
      <c r="E50" s="21">
        <v>25000.0</v>
      </c>
      <c r="F50" s="21">
        <f t="shared" si="12"/>
        <v>320000</v>
      </c>
      <c r="H50" s="8">
        <v>17.0</v>
      </c>
      <c r="I50" s="20">
        <v>46077.0</v>
      </c>
      <c r="J50" s="22" t="s">
        <v>21</v>
      </c>
      <c r="K50" s="21">
        <v>25000.0</v>
      </c>
      <c r="L50" s="21">
        <f t="shared" ref="L50:L53" si="13">sum(L49+K50)</f>
        <v>575000</v>
      </c>
      <c r="N50" s="8">
        <v>17.0</v>
      </c>
      <c r="O50" s="20">
        <v>46105.0</v>
      </c>
      <c r="P50" s="22" t="s">
        <v>21</v>
      </c>
      <c r="Q50" s="21">
        <v>0.0</v>
      </c>
      <c r="R50" s="21">
        <f t="shared" ref="R50:R53" si="14">sum(R49+Q50)</f>
        <v>325000</v>
      </c>
    </row>
    <row r="51">
      <c r="B51" s="12"/>
      <c r="E51" s="21"/>
      <c r="F51" s="21"/>
      <c r="H51" s="8">
        <v>18.0</v>
      </c>
      <c r="I51" s="20">
        <v>46078.0</v>
      </c>
      <c r="J51" s="22" t="s">
        <v>22</v>
      </c>
      <c r="K51" s="21">
        <v>25000.0</v>
      </c>
      <c r="L51" s="21">
        <f t="shared" si="13"/>
        <v>600000</v>
      </c>
      <c r="N51" s="8">
        <v>18.0</v>
      </c>
      <c r="O51" s="20">
        <v>46106.0</v>
      </c>
      <c r="P51" s="22" t="s">
        <v>22</v>
      </c>
      <c r="Q51" s="21">
        <v>0.0</v>
      </c>
      <c r="R51" s="21">
        <f t="shared" si="14"/>
        <v>325000</v>
      </c>
    </row>
    <row r="52">
      <c r="B52" s="8">
        <v>18.0</v>
      </c>
      <c r="C52" s="20">
        <v>46048.0</v>
      </c>
      <c r="D52" s="12" t="s">
        <v>19</v>
      </c>
      <c r="E52" s="21">
        <v>20000.0</v>
      </c>
      <c r="F52" s="21">
        <f>sum(F50+E52)</f>
        <v>340000</v>
      </c>
      <c r="H52" s="8">
        <v>19.0</v>
      </c>
      <c r="I52" s="20">
        <v>46079.0</v>
      </c>
      <c r="J52" s="22" t="s">
        <v>18</v>
      </c>
      <c r="K52" s="21">
        <v>25000.0</v>
      </c>
      <c r="L52" s="21">
        <f t="shared" si="13"/>
        <v>625000</v>
      </c>
      <c r="N52" s="8">
        <v>19.0</v>
      </c>
      <c r="O52" s="20">
        <v>46107.0</v>
      </c>
      <c r="P52" s="22" t="s">
        <v>18</v>
      </c>
      <c r="Q52" s="21">
        <v>0.0</v>
      </c>
      <c r="R52" s="21">
        <f t="shared" si="14"/>
        <v>325000</v>
      </c>
    </row>
    <row r="53">
      <c r="B53" s="8">
        <v>19.0</v>
      </c>
      <c r="C53" s="20">
        <v>46049.0</v>
      </c>
      <c r="D53" s="12" t="s">
        <v>21</v>
      </c>
      <c r="E53" s="21">
        <v>50000.0</v>
      </c>
      <c r="F53" s="21">
        <f t="shared" ref="F53:F56" si="15">sum(F52+E53)</f>
        <v>390000</v>
      </c>
      <c r="H53" s="8">
        <v>20.0</v>
      </c>
      <c r="I53" s="20">
        <v>46080.0</v>
      </c>
      <c r="J53" s="22" t="s">
        <v>20</v>
      </c>
      <c r="K53" s="21">
        <v>25000.0</v>
      </c>
      <c r="L53" s="21">
        <f t="shared" si="13"/>
        <v>650000</v>
      </c>
      <c r="N53" s="8">
        <v>20.0</v>
      </c>
      <c r="O53" s="20">
        <v>46108.0</v>
      </c>
      <c r="P53" s="22" t="s">
        <v>20</v>
      </c>
      <c r="Q53" s="21">
        <v>0.0</v>
      </c>
      <c r="R53" s="21">
        <f t="shared" si="14"/>
        <v>325000</v>
      </c>
    </row>
    <row r="54">
      <c r="B54" s="8">
        <v>20.0</v>
      </c>
      <c r="C54" s="20">
        <v>46050.0</v>
      </c>
      <c r="D54" s="12" t="s">
        <v>22</v>
      </c>
      <c r="E54" s="21">
        <v>50000.0</v>
      </c>
      <c r="F54" s="21">
        <f t="shared" si="15"/>
        <v>440000</v>
      </c>
      <c r="H54" s="13" t="s">
        <v>23</v>
      </c>
      <c r="K54" s="23">
        <f>L53</f>
        <v>650000</v>
      </c>
    </row>
    <row r="55">
      <c r="B55" s="8">
        <v>21.0</v>
      </c>
      <c r="C55" s="20">
        <v>46051.0</v>
      </c>
      <c r="D55" s="12" t="s">
        <v>18</v>
      </c>
      <c r="E55" s="21">
        <v>50000.0</v>
      </c>
      <c r="F55" s="21">
        <f t="shared" si="15"/>
        <v>490000</v>
      </c>
      <c r="N55" s="8">
        <v>21.0</v>
      </c>
      <c r="O55" s="20">
        <v>46111.0</v>
      </c>
      <c r="P55" s="24" t="s">
        <v>19</v>
      </c>
      <c r="Q55" s="21">
        <v>100000.0</v>
      </c>
      <c r="R55" s="25">
        <f>sum(R53+Q55)</f>
        <v>425000</v>
      </c>
    </row>
    <row r="56">
      <c r="B56" s="8">
        <v>22.0</v>
      </c>
      <c r="C56" s="20">
        <v>46052.0</v>
      </c>
      <c r="D56" s="12" t="s">
        <v>20</v>
      </c>
      <c r="E56" s="21">
        <v>30000.0</v>
      </c>
      <c r="F56" s="21">
        <f t="shared" si="15"/>
        <v>520000</v>
      </c>
      <c r="N56" s="8">
        <v>22.0</v>
      </c>
      <c r="O56" s="20">
        <v>46112.0</v>
      </c>
      <c r="P56" s="24" t="s">
        <v>21</v>
      </c>
      <c r="Q56" s="21">
        <v>100000.0</v>
      </c>
      <c r="R56" s="25">
        <f>sum(R55+Q56)</f>
        <v>525000</v>
      </c>
    </row>
    <row r="57">
      <c r="B57" s="13" t="s">
        <v>24</v>
      </c>
      <c r="E57" s="23">
        <f>F56</f>
        <v>520000</v>
      </c>
      <c r="N57" s="13" t="s">
        <v>25</v>
      </c>
      <c r="Q57" s="23">
        <f>R56</f>
        <v>525000</v>
      </c>
    </row>
    <row r="58">
      <c r="B58" s="12"/>
      <c r="E58" s="12"/>
      <c r="F58" s="12"/>
    </row>
    <row r="59">
      <c r="B59" s="12"/>
      <c r="E59" s="12"/>
      <c r="F59" s="12"/>
    </row>
    <row r="60">
      <c r="B60" s="18" t="s">
        <v>26</v>
      </c>
      <c r="H60" s="18" t="s">
        <v>27</v>
      </c>
      <c r="N60" s="18" t="s">
        <v>28</v>
      </c>
    </row>
    <row r="62">
      <c r="B62" s="26" t="s">
        <v>6</v>
      </c>
      <c r="C62" s="26" t="s">
        <v>17</v>
      </c>
      <c r="D62" s="26" t="s">
        <v>11</v>
      </c>
      <c r="E62" s="26" t="s">
        <v>9</v>
      </c>
      <c r="F62" s="26" t="s">
        <v>10</v>
      </c>
      <c r="H62" s="26" t="s">
        <v>6</v>
      </c>
      <c r="I62" s="26" t="s">
        <v>17</v>
      </c>
      <c r="J62" s="26" t="s">
        <v>11</v>
      </c>
      <c r="K62" s="26" t="s">
        <v>9</v>
      </c>
      <c r="L62" s="26" t="s">
        <v>10</v>
      </c>
      <c r="N62" s="26" t="s">
        <v>6</v>
      </c>
      <c r="O62" s="26" t="s">
        <v>17</v>
      </c>
      <c r="P62" s="26" t="s">
        <v>11</v>
      </c>
      <c r="Q62" s="26" t="s">
        <v>9</v>
      </c>
      <c r="R62" s="26" t="s">
        <v>10</v>
      </c>
    </row>
    <row r="63">
      <c r="B63" s="8">
        <v>1.0</v>
      </c>
      <c r="C63" s="20">
        <v>46113.0</v>
      </c>
      <c r="D63" s="12" t="s">
        <v>22</v>
      </c>
      <c r="E63" s="21">
        <v>100000.0</v>
      </c>
      <c r="F63" s="21">
        <f>(E63)</f>
        <v>100000</v>
      </c>
      <c r="H63" s="8">
        <v>1.0</v>
      </c>
      <c r="I63" s="20">
        <v>46143.0</v>
      </c>
      <c r="J63" s="12" t="s">
        <v>20</v>
      </c>
      <c r="K63" s="21">
        <v>0.0</v>
      </c>
      <c r="L63" s="21">
        <f>K63</f>
        <v>0</v>
      </c>
      <c r="N63" s="8">
        <v>1.0</v>
      </c>
      <c r="O63" s="20">
        <v>46174.0</v>
      </c>
      <c r="P63" s="22" t="s">
        <v>19</v>
      </c>
      <c r="Q63" s="21">
        <v>0.0</v>
      </c>
      <c r="R63" s="21">
        <f>(Q63)</f>
        <v>0</v>
      </c>
    </row>
    <row r="64">
      <c r="B64" s="8">
        <v>2.0</v>
      </c>
      <c r="C64" s="20">
        <v>46114.0</v>
      </c>
      <c r="D64" s="12" t="s">
        <v>18</v>
      </c>
      <c r="E64" s="21">
        <v>100000.0</v>
      </c>
      <c r="F64" s="21">
        <f t="shared" ref="F64:F65" si="16">sum(F63+E64)</f>
        <v>200000</v>
      </c>
      <c r="H64" s="8"/>
      <c r="I64" s="20"/>
      <c r="J64" s="12"/>
      <c r="K64" s="21"/>
      <c r="L64" s="21"/>
      <c r="N64" s="8">
        <v>2.0</v>
      </c>
      <c r="O64" s="20">
        <v>46175.0</v>
      </c>
      <c r="P64" s="22" t="s">
        <v>21</v>
      </c>
      <c r="Q64" s="21">
        <v>100000.0</v>
      </c>
      <c r="R64" s="21">
        <f t="shared" ref="R64:R67" si="17">sum(R63+Q64)</f>
        <v>100000</v>
      </c>
    </row>
    <row r="65">
      <c r="B65" s="8">
        <v>3.0</v>
      </c>
      <c r="C65" s="20">
        <v>46115.0</v>
      </c>
      <c r="D65" s="12" t="s">
        <v>20</v>
      </c>
      <c r="E65" s="21">
        <v>0.0</v>
      </c>
      <c r="F65" s="21">
        <f t="shared" si="16"/>
        <v>200000</v>
      </c>
      <c r="H65" s="8">
        <v>2.0</v>
      </c>
      <c r="I65" s="20">
        <v>46146.0</v>
      </c>
      <c r="J65" s="22" t="s">
        <v>19</v>
      </c>
      <c r="K65" s="21">
        <v>100000.0</v>
      </c>
      <c r="L65" s="21">
        <f>sum(L63+K65)</f>
        <v>100000</v>
      </c>
      <c r="N65" s="8">
        <v>3.0</v>
      </c>
      <c r="O65" s="20">
        <v>46176.0</v>
      </c>
      <c r="P65" s="22" t="s">
        <v>22</v>
      </c>
      <c r="Q65" s="21">
        <v>100000.0</v>
      </c>
      <c r="R65" s="21">
        <f t="shared" si="17"/>
        <v>200000</v>
      </c>
    </row>
    <row r="66">
      <c r="C66" s="20"/>
      <c r="E66" s="21"/>
      <c r="F66" s="21"/>
      <c r="H66" s="8">
        <v>3.0</v>
      </c>
      <c r="I66" s="20">
        <v>46147.0</v>
      </c>
      <c r="J66" s="22" t="s">
        <v>21</v>
      </c>
      <c r="K66" s="21">
        <v>100000.0</v>
      </c>
      <c r="L66" s="21">
        <f t="shared" ref="L66:L69" si="18">sum(L65+K66)</f>
        <v>200000</v>
      </c>
      <c r="N66" s="8">
        <v>4.0</v>
      </c>
      <c r="O66" s="20">
        <v>46177.0</v>
      </c>
      <c r="P66" s="22" t="s">
        <v>18</v>
      </c>
      <c r="Q66" s="21">
        <v>100000.0</v>
      </c>
      <c r="R66" s="21">
        <f t="shared" si="17"/>
        <v>300000</v>
      </c>
    </row>
    <row r="67">
      <c r="B67" s="8">
        <v>4.0</v>
      </c>
      <c r="C67" s="20">
        <v>46118.0</v>
      </c>
      <c r="D67" s="22" t="s">
        <v>19</v>
      </c>
      <c r="E67" s="21">
        <v>100000.0</v>
      </c>
      <c r="F67" s="21">
        <f>sum(F65+E67)</f>
        <v>300000</v>
      </c>
      <c r="H67" s="8">
        <v>4.0</v>
      </c>
      <c r="I67" s="20">
        <v>46148.0</v>
      </c>
      <c r="J67" s="22" t="s">
        <v>22</v>
      </c>
      <c r="K67" s="21">
        <v>100000.0</v>
      </c>
      <c r="L67" s="21">
        <f t="shared" si="18"/>
        <v>300000</v>
      </c>
      <c r="N67" s="8">
        <v>5.0</v>
      </c>
      <c r="O67" s="20">
        <v>46178.0</v>
      </c>
      <c r="P67" s="22" t="s">
        <v>20</v>
      </c>
      <c r="Q67" s="21">
        <v>100000.0</v>
      </c>
      <c r="R67" s="21">
        <f t="shared" si="17"/>
        <v>400000</v>
      </c>
    </row>
    <row r="68">
      <c r="B68" s="8">
        <v>5.0</v>
      </c>
      <c r="C68" s="20">
        <v>46119.0</v>
      </c>
      <c r="D68" s="22" t="s">
        <v>21</v>
      </c>
      <c r="E68" s="21">
        <v>50000.0</v>
      </c>
      <c r="F68" s="21">
        <f t="shared" ref="F68:F71" si="19">sum(F67+E68)</f>
        <v>350000</v>
      </c>
      <c r="H68" s="8">
        <v>5.0</v>
      </c>
      <c r="I68" s="20">
        <v>46149.0</v>
      </c>
      <c r="J68" s="22" t="s">
        <v>18</v>
      </c>
      <c r="K68" s="21">
        <v>100000.0</v>
      </c>
      <c r="L68" s="21">
        <f t="shared" si="18"/>
        <v>400000</v>
      </c>
      <c r="O68" s="20"/>
      <c r="Q68" s="21"/>
      <c r="R68" s="21"/>
    </row>
    <row r="69">
      <c r="B69" s="8">
        <v>6.0</v>
      </c>
      <c r="C69" s="20">
        <v>46120.0</v>
      </c>
      <c r="D69" s="22" t="s">
        <v>22</v>
      </c>
      <c r="E69" s="21">
        <v>50000.0</v>
      </c>
      <c r="F69" s="21">
        <f t="shared" si="19"/>
        <v>400000</v>
      </c>
      <c r="H69" s="8">
        <v>6.0</v>
      </c>
      <c r="I69" s="20">
        <v>46150.0</v>
      </c>
      <c r="J69" s="22" t="s">
        <v>20</v>
      </c>
      <c r="K69" s="21">
        <v>100000.0</v>
      </c>
      <c r="L69" s="21">
        <f t="shared" si="18"/>
        <v>500000</v>
      </c>
      <c r="N69" s="8">
        <v>6.0</v>
      </c>
      <c r="O69" s="20">
        <v>46181.0</v>
      </c>
      <c r="P69" s="22" t="s">
        <v>19</v>
      </c>
      <c r="Q69" s="21">
        <v>100000.0</v>
      </c>
      <c r="R69" s="21">
        <f>sum(R67+Q69)</f>
        <v>500000</v>
      </c>
    </row>
    <row r="70">
      <c r="B70" s="8">
        <v>7.0</v>
      </c>
      <c r="C70" s="20">
        <v>46121.0</v>
      </c>
      <c r="D70" s="22" t="s">
        <v>18</v>
      </c>
      <c r="E70" s="21">
        <v>50000.0</v>
      </c>
      <c r="F70" s="21">
        <f t="shared" si="19"/>
        <v>450000</v>
      </c>
      <c r="H70" s="8"/>
      <c r="K70" s="21"/>
      <c r="L70" s="21"/>
      <c r="N70" s="8">
        <v>7.0</v>
      </c>
      <c r="O70" s="20">
        <v>46182.0</v>
      </c>
      <c r="P70" s="22" t="s">
        <v>21</v>
      </c>
      <c r="Q70" s="21">
        <v>100000.0</v>
      </c>
      <c r="R70" s="21">
        <f t="shared" ref="R70:R73" si="20">sum(R69+Q70)</f>
        <v>600000</v>
      </c>
    </row>
    <row r="71">
      <c r="B71" s="8">
        <v>8.0</v>
      </c>
      <c r="C71" s="20">
        <v>46122.0</v>
      </c>
      <c r="D71" s="22" t="s">
        <v>20</v>
      </c>
      <c r="E71" s="21">
        <v>50000.0</v>
      </c>
      <c r="F71" s="21">
        <f t="shared" si="19"/>
        <v>500000</v>
      </c>
      <c r="H71" s="8">
        <v>7.0</v>
      </c>
      <c r="I71" s="20">
        <v>46153.0</v>
      </c>
      <c r="J71" s="22" t="s">
        <v>19</v>
      </c>
      <c r="K71" s="21">
        <v>100000.0</v>
      </c>
      <c r="L71" s="21">
        <f>sum(L69+K71)</f>
        <v>600000</v>
      </c>
      <c r="N71" s="8">
        <v>8.0</v>
      </c>
      <c r="O71" s="20">
        <v>46183.0</v>
      </c>
      <c r="P71" s="22" t="s">
        <v>22</v>
      </c>
      <c r="Q71" s="21">
        <v>100000.0</v>
      </c>
      <c r="R71" s="21">
        <f t="shared" si="20"/>
        <v>700000</v>
      </c>
    </row>
    <row r="72">
      <c r="B72" s="8"/>
      <c r="E72" s="21"/>
      <c r="F72" s="21"/>
      <c r="H72" s="8">
        <v>8.0</v>
      </c>
      <c r="I72" s="20">
        <v>46154.0</v>
      </c>
      <c r="J72" s="22" t="s">
        <v>21</v>
      </c>
      <c r="K72" s="21">
        <v>100000.0</v>
      </c>
      <c r="L72" s="21">
        <f t="shared" ref="L72:L75" si="21">sum(L71+K72)</f>
        <v>700000</v>
      </c>
      <c r="N72" s="8">
        <v>9.0</v>
      </c>
      <c r="O72" s="20">
        <v>46184.0</v>
      </c>
      <c r="P72" s="22" t="s">
        <v>18</v>
      </c>
      <c r="Q72" s="21">
        <v>100000.0</v>
      </c>
      <c r="R72" s="21">
        <f t="shared" si="20"/>
        <v>800000</v>
      </c>
    </row>
    <row r="73">
      <c r="B73" s="8">
        <v>9.0</v>
      </c>
      <c r="C73" s="20">
        <v>46125.0</v>
      </c>
      <c r="D73" s="22" t="s">
        <v>19</v>
      </c>
      <c r="E73" s="21">
        <v>50000.0</v>
      </c>
      <c r="F73" s="21">
        <f>sum(F71+E73)</f>
        <v>550000</v>
      </c>
      <c r="H73" s="8">
        <v>9.0</v>
      </c>
      <c r="I73" s="20">
        <v>46155.0</v>
      </c>
      <c r="J73" s="22" t="s">
        <v>22</v>
      </c>
      <c r="K73" s="21">
        <v>100000.0</v>
      </c>
      <c r="L73" s="21">
        <f t="shared" si="21"/>
        <v>800000</v>
      </c>
      <c r="N73" s="8">
        <v>10.0</v>
      </c>
      <c r="O73" s="20">
        <v>46185.0</v>
      </c>
      <c r="P73" s="22" t="s">
        <v>20</v>
      </c>
      <c r="Q73" s="21">
        <v>100000.0</v>
      </c>
      <c r="R73" s="21">
        <f t="shared" si="20"/>
        <v>900000</v>
      </c>
    </row>
    <row r="74">
      <c r="B74" s="8">
        <v>10.0</v>
      </c>
      <c r="C74" s="20">
        <v>46126.0</v>
      </c>
      <c r="D74" s="22" t="s">
        <v>21</v>
      </c>
      <c r="E74" s="21">
        <v>100000.0</v>
      </c>
      <c r="F74" s="21">
        <f t="shared" ref="F74:F77" si="22">sum(F73+E74)</f>
        <v>650000</v>
      </c>
      <c r="H74" s="8">
        <v>10.0</v>
      </c>
      <c r="I74" s="20">
        <v>46156.0</v>
      </c>
      <c r="J74" s="22" t="s">
        <v>18</v>
      </c>
      <c r="K74" s="21">
        <v>0.0</v>
      </c>
      <c r="L74" s="21">
        <f t="shared" si="21"/>
        <v>800000</v>
      </c>
      <c r="Q74" s="21"/>
      <c r="R74" s="21"/>
    </row>
    <row r="75">
      <c r="B75" s="8">
        <v>11.0</v>
      </c>
      <c r="C75" s="20">
        <v>46127.0</v>
      </c>
      <c r="D75" s="22" t="s">
        <v>22</v>
      </c>
      <c r="E75" s="21">
        <v>100000.0</v>
      </c>
      <c r="F75" s="21">
        <f t="shared" si="22"/>
        <v>750000</v>
      </c>
      <c r="H75" s="8">
        <v>11.0</v>
      </c>
      <c r="I75" s="20">
        <v>46157.0</v>
      </c>
      <c r="J75" s="22" t="s">
        <v>20</v>
      </c>
      <c r="K75" s="21">
        <v>0.0</v>
      </c>
      <c r="L75" s="21">
        <f t="shared" si="21"/>
        <v>800000</v>
      </c>
      <c r="N75" s="8">
        <v>11.0</v>
      </c>
      <c r="O75" s="20">
        <v>46188.0</v>
      </c>
      <c r="P75" s="22" t="s">
        <v>19</v>
      </c>
      <c r="Q75" s="21">
        <v>0.0</v>
      </c>
      <c r="R75" s="21">
        <f>sum(R73+Q75)</f>
        <v>900000</v>
      </c>
    </row>
    <row r="76">
      <c r="B76" s="8">
        <v>12.0</v>
      </c>
      <c r="C76" s="20">
        <v>46128.0</v>
      </c>
      <c r="D76" s="22" t="s">
        <v>18</v>
      </c>
      <c r="E76" s="21">
        <v>100000.0</v>
      </c>
      <c r="F76" s="21">
        <f t="shared" si="22"/>
        <v>850000</v>
      </c>
      <c r="H76" s="8"/>
      <c r="K76" s="21"/>
      <c r="L76" s="21"/>
      <c r="N76" s="8">
        <v>12.0</v>
      </c>
      <c r="O76" s="20">
        <v>46189.0</v>
      </c>
      <c r="P76" s="22" t="s">
        <v>21</v>
      </c>
      <c r="Q76" s="21">
        <v>0.0</v>
      </c>
      <c r="R76" s="21">
        <f t="shared" ref="R76:R79" si="23">sum(R75+Q76)</f>
        <v>900000</v>
      </c>
    </row>
    <row r="77">
      <c r="B77" s="8">
        <v>13.0</v>
      </c>
      <c r="C77" s="20">
        <v>46129.0</v>
      </c>
      <c r="D77" s="22" t="s">
        <v>20</v>
      </c>
      <c r="E77" s="21">
        <v>100000.0</v>
      </c>
      <c r="F77" s="21">
        <f t="shared" si="22"/>
        <v>950000</v>
      </c>
      <c r="H77" s="8">
        <v>12.0</v>
      </c>
      <c r="I77" s="20">
        <v>46160.0</v>
      </c>
      <c r="J77" s="22" t="s">
        <v>19</v>
      </c>
      <c r="K77" s="21">
        <v>100000.0</v>
      </c>
      <c r="L77" s="21">
        <f>sum(L75+K77)</f>
        <v>900000</v>
      </c>
      <c r="N77" s="8">
        <v>13.0</v>
      </c>
      <c r="O77" s="20">
        <v>46190.0</v>
      </c>
      <c r="P77" s="22" t="s">
        <v>22</v>
      </c>
      <c r="Q77" s="21">
        <v>100000.0</v>
      </c>
      <c r="R77" s="21">
        <f t="shared" si="23"/>
        <v>1000000</v>
      </c>
    </row>
    <row r="78">
      <c r="B78" s="8"/>
      <c r="E78" s="21"/>
      <c r="F78" s="21"/>
      <c r="H78" s="8">
        <v>13.0</v>
      </c>
      <c r="I78" s="20">
        <v>46161.0</v>
      </c>
      <c r="J78" s="22" t="s">
        <v>21</v>
      </c>
      <c r="K78" s="21">
        <v>100000.0</v>
      </c>
      <c r="L78" s="21">
        <f t="shared" ref="L78:L81" si="24">sum(L77+K78)</f>
        <v>1000000</v>
      </c>
      <c r="N78" s="8">
        <v>14.0</v>
      </c>
      <c r="O78" s="20">
        <v>46191.0</v>
      </c>
      <c r="P78" s="22" t="s">
        <v>18</v>
      </c>
      <c r="Q78" s="21">
        <v>100000.0</v>
      </c>
      <c r="R78" s="21">
        <f t="shared" si="23"/>
        <v>1100000</v>
      </c>
    </row>
    <row r="79">
      <c r="B79" s="8">
        <v>14.0</v>
      </c>
      <c r="C79" s="20">
        <v>46132.0</v>
      </c>
      <c r="D79" s="22" t="s">
        <v>19</v>
      </c>
      <c r="E79" s="21">
        <v>100000.0</v>
      </c>
      <c r="F79" s="21">
        <f>sum(F77+E79)</f>
        <v>1050000</v>
      </c>
      <c r="H79" s="8">
        <v>14.0</v>
      </c>
      <c r="I79" s="20">
        <v>46162.0</v>
      </c>
      <c r="J79" s="22" t="s">
        <v>22</v>
      </c>
      <c r="K79" s="21">
        <v>100000.0</v>
      </c>
      <c r="L79" s="21">
        <f t="shared" si="24"/>
        <v>1100000</v>
      </c>
      <c r="N79" s="8">
        <v>15.0</v>
      </c>
      <c r="O79" s="20">
        <v>46192.0</v>
      </c>
      <c r="P79" s="22" t="s">
        <v>20</v>
      </c>
      <c r="Q79" s="21">
        <v>100000.0</v>
      </c>
      <c r="R79" s="21">
        <f t="shared" si="23"/>
        <v>1200000</v>
      </c>
    </row>
    <row r="80">
      <c r="B80" s="8">
        <v>15.0</v>
      </c>
      <c r="C80" s="20">
        <v>46133.0</v>
      </c>
      <c r="D80" s="22" t="s">
        <v>21</v>
      </c>
      <c r="E80" s="21">
        <v>100000.0</v>
      </c>
      <c r="F80" s="21">
        <f t="shared" ref="F80:F83" si="25">sum(F79+E80)</f>
        <v>1150000</v>
      </c>
      <c r="H80" s="8">
        <v>15.0</v>
      </c>
      <c r="I80" s="20">
        <v>46163.0</v>
      </c>
      <c r="J80" s="22" t="s">
        <v>18</v>
      </c>
      <c r="K80" s="21">
        <v>100000.0</v>
      </c>
      <c r="L80" s="21">
        <f t="shared" si="24"/>
        <v>1200000</v>
      </c>
      <c r="Q80" s="21"/>
      <c r="R80" s="21"/>
    </row>
    <row r="81">
      <c r="B81" s="8">
        <v>16.0</v>
      </c>
      <c r="C81" s="20">
        <v>46134.0</v>
      </c>
      <c r="D81" s="22" t="s">
        <v>22</v>
      </c>
      <c r="E81" s="21">
        <v>100000.0</v>
      </c>
      <c r="F81" s="21">
        <f t="shared" si="25"/>
        <v>1250000</v>
      </c>
      <c r="H81" s="8">
        <v>16.0</v>
      </c>
      <c r="I81" s="20">
        <v>46164.0</v>
      </c>
      <c r="J81" s="22" t="s">
        <v>20</v>
      </c>
      <c r="K81" s="21">
        <v>100000.0</v>
      </c>
      <c r="L81" s="21">
        <f t="shared" si="24"/>
        <v>1300000</v>
      </c>
      <c r="N81" s="8">
        <v>16.0</v>
      </c>
      <c r="O81" s="20">
        <v>46195.0</v>
      </c>
      <c r="P81" s="22" t="s">
        <v>19</v>
      </c>
      <c r="Q81" s="21">
        <v>60000.0</v>
      </c>
      <c r="R81" s="21">
        <f>sum(R79+Q81)</f>
        <v>1260000</v>
      </c>
    </row>
    <row r="82">
      <c r="B82" s="8">
        <v>17.0</v>
      </c>
      <c r="C82" s="20">
        <v>46135.0</v>
      </c>
      <c r="D82" s="22" t="s">
        <v>18</v>
      </c>
      <c r="E82" s="21">
        <v>100000.0</v>
      </c>
      <c r="F82" s="21">
        <f t="shared" si="25"/>
        <v>1350000</v>
      </c>
      <c r="H82" s="8"/>
      <c r="K82" s="21"/>
      <c r="L82" s="21"/>
      <c r="N82" s="8">
        <v>17.0</v>
      </c>
      <c r="O82" s="20">
        <v>46196.0</v>
      </c>
      <c r="P82" s="22" t="s">
        <v>21</v>
      </c>
      <c r="Q82" s="21">
        <v>60000.0</v>
      </c>
      <c r="R82" s="21">
        <f t="shared" ref="R82:R85" si="26">sum(R81+Q82)</f>
        <v>1320000</v>
      </c>
    </row>
    <row r="83">
      <c r="B83" s="8">
        <v>18.0</v>
      </c>
      <c r="C83" s="20">
        <v>46136.0</v>
      </c>
      <c r="D83" s="22" t="s">
        <v>20</v>
      </c>
      <c r="E83" s="21">
        <v>100000.0</v>
      </c>
      <c r="F83" s="21">
        <f t="shared" si="25"/>
        <v>1450000</v>
      </c>
      <c r="H83" s="8">
        <v>17.0</v>
      </c>
      <c r="I83" s="20">
        <v>46167.0</v>
      </c>
      <c r="J83" s="22" t="s">
        <v>19</v>
      </c>
      <c r="K83" s="21">
        <v>100000.0</v>
      </c>
      <c r="L83" s="21">
        <f>sum(L81+K83)</f>
        <v>1400000</v>
      </c>
      <c r="N83" s="8">
        <v>18.0</v>
      </c>
      <c r="O83" s="20">
        <v>46197.0</v>
      </c>
      <c r="P83" s="22" t="s">
        <v>22</v>
      </c>
      <c r="Q83" s="21">
        <v>60000.0</v>
      </c>
      <c r="R83" s="21">
        <f t="shared" si="26"/>
        <v>1380000</v>
      </c>
    </row>
    <row r="84">
      <c r="B84" s="8"/>
      <c r="D84" s="22"/>
      <c r="E84" s="21"/>
      <c r="F84" s="21"/>
      <c r="H84" s="8">
        <v>18.0</v>
      </c>
      <c r="I84" s="20">
        <v>46168.0</v>
      </c>
      <c r="J84" s="22" t="s">
        <v>21</v>
      </c>
      <c r="K84" s="21">
        <v>60000.0</v>
      </c>
      <c r="L84" s="21">
        <f t="shared" ref="L84:L87" si="27">sum(L83+K84)</f>
        <v>1460000</v>
      </c>
      <c r="N84" s="8">
        <v>19.0</v>
      </c>
      <c r="O84" s="20">
        <v>46198.0</v>
      </c>
      <c r="P84" s="22" t="s">
        <v>18</v>
      </c>
      <c r="Q84" s="21">
        <v>50000.0</v>
      </c>
      <c r="R84" s="21">
        <f t="shared" si="26"/>
        <v>1430000</v>
      </c>
    </row>
    <row r="85">
      <c r="B85" s="8">
        <v>19.0</v>
      </c>
      <c r="C85" s="20">
        <v>46139.0</v>
      </c>
      <c r="D85" s="22" t="s">
        <v>19</v>
      </c>
      <c r="E85" s="21">
        <v>100000.0</v>
      </c>
      <c r="F85" s="21">
        <f>sum(F83+E85)</f>
        <v>1550000</v>
      </c>
      <c r="H85" s="8">
        <v>19.0</v>
      </c>
      <c r="I85" s="20">
        <v>46169.0</v>
      </c>
      <c r="J85" s="22" t="s">
        <v>22</v>
      </c>
      <c r="K85" s="21">
        <v>0.0</v>
      </c>
      <c r="L85" s="21">
        <f t="shared" si="27"/>
        <v>1460000</v>
      </c>
      <c r="N85" s="8">
        <v>20.0</v>
      </c>
      <c r="O85" s="20">
        <v>46199.0</v>
      </c>
      <c r="P85" s="22" t="s">
        <v>20</v>
      </c>
      <c r="Q85" s="21">
        <v>50000.0</v>
      </c>
      <c r="R85" s="21">
        <f t="shared" si="26"/>
        <v>1480000</v>
      </c>
    </row>
    <row r="86">
      <c r="B86" s="8">
        <v>20.0</v>
      </c>
      <c r="C86" s="20">
        <v>46140.0</v>
      </c>
      <c r="D86" s="22" t="s">
        <v>21</v>
      </c>
      <c r="E86" s="21">
        <v>100000.0</v>
      </c>
      <c r="F86" s="21">
        <f t="shared" ref="F86:F88" si="28">sum(F85+E86)</f>
        <v>1650000</v>
      </c>
      <c r="H86" s="8">
        <v>20.0</v>
      </c>
      <c r="I86" s="20">
        <v>46170.0</v>
      </c>
      <c r="J86" s="22" t="s">
        <v>18</v>
      </c>
      <c r="K86" s="21">
        <v>0.0</v>
      </c>
      <c r="L86" s="21">
        <f t="shared" si="27"/>
        <v>1460000</v>
      </c>
      <c r="N86" s="8"/>
      <c r="Q86" s="21"/>
      <c r="R86" s="21"/>
    </row>
    <row r="87">
      <c r="B87" s="8">
        <v>21.0</v>
      </c>
      <c r="C87" s="20">
        <v>46141.0</v>
      </c>
      <c r="D87" s="22" t="s">
        <v>22</v>
      </c>
      <c r="E87" s="21">
        <v>100000.0</v>
      </c>
      <c r="F87" s="21">
        <f t="shared" si="28"/>
        <v>1750000</v>
      </c>
      <c r="H87" s="8">
        <v>21.0</v>
      </c>
      <c r="I87" s="20">
        <v>46171.0</v>
      </c>
      <c r="J87" s="22" t="s">
        <v>20</v>
      </c>
      <c r="K87" s="21">
        <v>0.0</v>
      </c>
      <c r="L87" s="21">
        <f t="shared" si="27"/>
        <v>1460000</v>
      </c>
      <c r="N87" s="8">
        <v>21.0</v>
      </c>
      <c r="O87" s="20">
        <v>46202.0</v>
      </c>
      <c r="P87" s="22" t="s">
        <v>19</v>
      </c>
      <c r="Q87" s="21">
        <v>50000.0</v>
      </c>
      <c r="R87" s="21">
        <f>sum(R85+Q87)</f>
        <v>1530000</v>
      </c>
    </row>
    <row r="88">
      <c r="B88" s="8">
        <v>22.0</v>
      </c>
      <c r="C88" s="20">
        <v>46142.0</v>
      </c>
      <c r="D88" s="22" t="s">
        <v>18</v>
      </c>
      <c r="E88" s="21">
        <v>100000.0</v>
      </c>
      <c r="F88" s="21">
        <f t="shared" si="28"/>
        <v>1850000</v>
      </c>
      <c r="H88" s="13" t="s">
        <v>29</v>
      </c>
      <c r="K88" s="23">
        <f>L87</f>
        <v>1460000</v>
      </c>
      <c r="N88" s="8">
        <v>22.0</v>
      </c>
      <c r="O88" s="20">
        <v>46203.0</v>
      </c>
      <c r="P88" s="22" t="s">
        <v>21</v>
      </c>
      <c r="Q88" s="21">
        <v>50000.0</v>
      </c>
      <c r="R88" s="21">
        <f>sum(R87+Q88)</f>
        <v>1580000</v>
      </c>
    </row>
    <row r="89">
      <c r="B89" s="13" t="s">
        <v>30</v>
      </c>
      <c r="E89" s="23">
        <f>F88</f>
        <v>1850000</v>
      </c>
      <c r="N89" s="13" t="s">
        <v>31</v>
      </c>
      <c r="Q89" s="23">
        <f>R88</f>
        <v>1580000</v>
      </c>
    </row>
    <row r="90">
      <c r="O90" s="20"/>
    </row>
    <row r="92">
      <c r="B92" s="18" t="s">
        <v>32</v>
      </c>
      <c r="H92" s="18" t="s">
        <v>33</v>
      </c>
      <c r="N92" s="18" t="s">
        <v>34</v>
      </c>
    </row>
    <row r="94">
      <c r="B94" s="27" t="s">
        <v>6</v>
      </c>
      <c r="C94" s="27" t="s">
        <v>17</v>
      </c>
      <c r="D94" s="27" t="s">
        <v>11</v>
      </c>
      <c r="E94" s="27" t="s">
        <v>9</v>
      </c>
      <c r="F94" s="27" t="s">
        <v>10</v>
      </c>
      <c r="H94" s="26" t="s">
        <v>6</v>
      </c>
      <c r="I94" s="26" t="s">
        <v>17</v>
      </c>
      <c r="J94" s="26" t="s">
        <v>11</v>
      </c>
      <c r="K94" s="26" t="s">
        <v>9</v>
      </c>
      <c r="L94" s="26" t="s">
        <v>10</v>
      </c>
      <c r="N94" s="26" t="s">
        <v>6</v>
      </c>
      <c r="O94" s="26" t="s">
        <v>17</v>
      </c>
      <c r="P94" s="26" t="s">
        <v>11</v>
      </c>
      <c r="Q94" s="26" t="s">
        <v>9</v>
      </c>
      <c r="R94" s="26" t="s">
        <v>10</v>
      </c>
    </row>
    <row r="95">
      <c r="B95" s="8">
        <v>1.0</v>
      </c>
      <c r="C95" s="20">
        <v>46204.0</v>
      </c>
      <c r="D95" s="12" t="s">
        <v>22</v>
      </c>
      <c r="E95" s="21">
        <v>50000.0</v>
      </c>
      <c r="F95" s="21">
        <f>(E95)</f>
        <v>50000</v>
      </c>
      <c r="H95" s="8">
        <v>1.0</v>
      </c>
      <c r="I95" s="20">
        <v>46237.0</v>
      </c>
      <c r="J95" s="22" t="s">
        <v>19</v>
      </c>
      <c r="K95" s="21">
        <v>50000.0</v>
      </c>
      <c r="L95" s="21">
        <f>(K95)</f>
        <v>50000</v>
      </c>
      <c r="N95" s="8">
        <v>1.0</v>
      </c>
      <c r="O95" s="20">
        <v>46266.0</v>
      </c>
      <c r="P95" s="24" t="s">
        <v>21</v>
      </c>
      <c r="Q95" s="21">
        <v>0.0</v>
      </c>
      <c r="R95" s="21">
        <f>(Q95)</f>
        <v>0</v>
      </c>
    </row>
    <row r="96">
      <c r="B96" s="8">
        <v>2.0</v>
      </c>
      <c r="C96" s="20">
        <v>46205.0</v>
      </c>
      <c r="D96" s="12" t="s">
        <v>18</v>
      </c>
      <c r="E96" s="21">
        <v>50000.0</v>
      </c>
      <c r="F96" s="21">
        <f t="shared" ref="F96:F97" si="29">sum(F95+E96)</f>
        <v>100000</v>
      </c>
      <c r="H96" s="8">
        <v>2.0</v>
      </c>
      <c r="I96" s="20">
        <v>46238.0</v>
      </c>
      <c r="J96" s="22" t="s">
        <v>21</v>
      </c>
      <c r="K96" s="21">
        <v>50000.0</v>
      </c>
      <c r="L96" s="21">
        <f t="shared" ref="L96:L99" si="30">sum(L95+K96)</f>
        <v>100000</v>
      </c>
      <c r="N96" s="8">
        <v>2.0</v>
      </c>
      <c r="O96" s="20">
        <v>46267.0</v>
      </c>
      <c r="P96" s="24" t="s">
        <v>22</v>
      </c>
      <c r="Q96" s="21">
        <v>0.0</v>
      </c>
      <c r="R96" s="21">
        <f t="shared" ref="R96:R98" si="31">sum(R95+Q96)</f>
        <v>0</v>
      </c>
    </row>
    <row r="97">
      <c r="B97" s="8">
        <v>3.0</v>
      </c>
      <c r="C97" s="20">
        <v>46206.0</v>
      </c>
      <c r="D97" s="12" t="s">
        <v>20</v>
      </c>
      <c r="E97" s="21">
        <v>50000.0</v>
      </c>
      <c r="F97" s="21">
        <f t="shared" si="29"/>
        <v>150000</v>
      </c>
      <c r="H97" s="8">
        <v>3.0</v>
      </c>
      <c r="I97" s="20">
        <v>46239.0</v>
      </c>
      <c r="J97" s="22" t="s">
        <v>22</v>
      </c>
      <c r="K97" s="21">
        <v>50000.0</v>
      </c>
      <c r="L97" s="21">
        <f t="shared" si="30"/>
        <v>150000</v>
      </c>
      <c r="N97" s="8">
        <v>3.0</v>
      </c>
      <c r="O97" s="20">
        <v>46268.0</v>
      </c>
      <c r="P97" s="24" t="s">
        <v>18</v>
      </c>
      <c r="Q97" s="21">
        <v>0.0</v>
      </c>
      <c r="R97" s="21">
        <f t="shared" si="31"/>
        <v>0</v>
      </c>
    </row>
    <row r="98">
      <c r="C98" s="20"/>
      <c r="E98" s="21"/>
      <c r="F98" s="21"/>
      <c r="H98" s="8">
        <v>4.0</v>
      </c>
      <c r="I98" s="20">
        <v>46240.0</v>
      </c>
      <c r="J98" s="22" t="s">
        <v>18</v>
      </c>
      <c r="K98" s="21">
        <v>50000.0</v>
      </c>
      <c r="L98" s="21">
        <f t="shared" si="30"/>
        <v>200000</v>
      </c>
      <c r="N98" s="8">
        <v>4.0</v>
      </c>
      <c r="O98" s="20">
        <v>46269.0</v>
      </c>
      <c r="P98" s="24" t="s">
        <v>20</v>
      </c>
      <c r="Q98" s="21">
        <v>0.0</v>
      </c>
      <c r="R98" s="21">
        <f t="shared" si="31"/>
        <v>0</v>
      </c>
    </row>
    <row r="99">
      <c r="B99" s="8">
        <v>4.0</v>
      </c>
      <c r="C99" s="20">
        <v>46209.0</v>
      </c>
      <c r="D99" s="22" t="s">
        <v>19</v>
      </c>
      <c r="E99" s="21">
        <v>50000.0</v>
      </c>
      <c r="F99" s="21">
        <f>sum(F97+E99)</f>
        <v>200000</v>
      </c>
      <c r="H99" s="8">
        <v>5.0</v>
      </c>
      <c r="I99" s="20">
        <v>46241.0</v>
      </c>
      <c r="J99" s="22" t="s">
        <v>20</v>
      </c>
      <c r="K99" s="21">
        <v>50000.0</v>
      </c>
      <c r="L99" s="21">
        <f t="shared" si="30"/>
        <v>250000</v>
      </c>
      <c r="N99" s="8"/>
      <c r="O99" s="20"/>
      <c r="P99" s="12"/>
      <c r="Q99" s="21"/>
      <c r="R99" s="21"/>
    </row>
    <row r="100">
      <c r="B100" s="8">
        <v>5.0</v>
      </c>
      <c r="C100" s="20">
        <v>46210.0</v>
      </c>
      <c r="D100" s="22" t="s">
        <v>21</v>
      </c>
      <c r="E100" s="21">
        <v>50000.0</v>
      </c>
      <c r="F100" s="21">
        <f t="shared" ref="F100:F103" si="32">sum(F99+E100)</f>
        <v>250000</v>
      </c>
      <c r="H100" s="8"/>
      <c r="K100" s="21"/>
      <c r="L100" s="21"/>
      <c r="N100" s="8">
        <v>5.0</v>
      </c>
      <c r="O100" s="20">
        <v>46272.0</v>
      </c>
      <c r="P100" s="24" t="s">
        <v>19</v>
      </c>
      <c r="Q100" s="21">
        <v>0.0</v>
      </c>
      <c r="R100" s="21">
        <f>sum(R98+Q100)</f>
        <v>0</v>
      </c>
    </row>
    <row r="101">
      <c r="B101" s="8">
        <v>6.0</v>
      </c>
      <c r="C101" s="20">
        <v>46211.0</v>
      </c>
      <c r="D101" s="22" t="s">
        <v>22</v>
      </c>
      <c r="E101" s="21">
        <v>50000.0</v>
      </c>
      <c r="F101" s="21">
        <f t="shared" si="32"/>
        <v>300000</v>
      </c>
      <c r="H101" s="8">
        <v>6.0</v>
      </c>
      <c r="I101" s="20">
        <v>46244.0</v>
      </c>
      <c r="J101" s="22" t="s">
        <v>19</v>
      </c>
      <c r="K101" s="21">
        <v>50000.0</v>
      </c>
      <c r="L101" s="21">
        <f>sum(L99+K101)</f>
        <v>300000</v>
      </c>
      <c r="N101" s="8">
        <v>6.0</v>
      </c>
      <c r="O101" s="20">
        <v>46273.0</v>
      </c>
      <c r="P101" s="24" t="s">
        <v>21</v>
      </c>
      <c r="Q101" s="21">
        <v>0.0</v>
      </c>
      <c r="R101" s="21">
        <f t="shared" ref="R101:R104" si="33">sum(R100+Q101)</f>
        <v>0</v>
      </c>
    </row>
    <row r="102">
      <c r="B102" s="8">
        <v>7.0</v>
      </c>
      <c r="C102" s="20">
        <v>46212.0</v>
      </c>
      <c r="D102" s="22" t="s">
        <v>18</v>
      </c>
      <c r="E102" s="21">
        <v>50000.0</v>
      </c>
      <c r="F102" s="21">
        <f t="shared" si="32"/>
        <v>350000</v>
      </c>
      <c r="H102" s="8">
        <v>7.0</v>
      </c>
      <c r="I102" s="20">
        <v>46245.0</v>
      </c>
      <c r="J102" s="22" t="s">
        <v>21</v>
      </c>
      <c r="K102" s="21">
        <v>50000.0</v>
      </c>
      <c r="L102" s="21">
        <f t="shared" ref="L102:L105" si="34">sum(L101+K102)</f>
        <v>350000</v>
      </c>
      <c r="N102" s="8">
        <v>7.0</v>
      </c>
      <c r="O102" s="20">
        <v>46274.0</v>
      </c>
      <c r="P102" s="24" t="s">
        <v>22</v>
      </c>
      <c r="Q102" s="21">
        <v>0.0</v>
      </c>
      <c r="R102" s="21">
        <f t="shared" si="33"/>
        <v>0</v>
      </c>
    </row>
    <row r="103">
      <c r="B103" s="8">
        <v>8.0</v>
      </c>
      <c r="C103" s="20">
        <v>46213.0</v>
      </c>
      <c r="D103" s="22" t="s">
        <v>20</v>
      </c>
      <c r="E103" s="21">
        <v>50000.0</v>
      </c>
      <c r="F103" s="21">
        <f t="shared" si="32"/>
        <v>400000</v>
      </c>
      <c r="H103" s="8">
        <v>8.0</v>
      </c>
      <c r="I103" s="20">
        <v>46246.0</v>
      </c>
      <c r="J103" s="22" t="s">
        <v>22</v>
      </c>
      <c r="K103" s="21">
        <v>50000.0</v>
      </c>
      <c r="L103" s="21">
        <f t="shared" si="34"/>
        <v>400000</v>
      </c>
      <c r="N103" s="8">
        <v>8.0</v>
      </c>
      <c r="O103" s="20">
        <v>46275.0</v>
      </c>
      <c r="P103" s="24" t="s">
        <v>18</v>
      </c>
      <c r="Q103" s="21">
        <v>0.0</v>
      </c>
      <c r="R103" s="21">
        <f t="shared" si="33"/>
        <v>0</v>
      </c>
    </row>
    <row r="104">
      <c r="B104" s="8"/>
      <c r="E104" s="21"/>
      <c r="F104" s="21"/>
      <c r="H104" s="8">
        <v>9.0</v>
      </c>
      <c r="I104" s="20">
        <v>46247.0</v>
      </c>
      <c r="J104" s="22" t="s">
        <v>18</v>
      </c>
      <c r="K104" s="21">
        <v>50000.0</v>
      </c>
      <c r="L104" s="21">
        <f t="shared" si="34"/>
        <v>450000</v>
      </c>
      <c r="N104" s="8">
        <v>9.0</v>
      </c>
      <c r="O104" s="20">
        <v>46276.0</v>
      </c>
      <c r="P104" s="24" t="s">
        <v>20</v>
      </c>
      <c r="Q104" s="21">
        <v>0.0</v>
      </c>
      <c r="R104" s="21">
        <f t="shared" si="33"/>
        <v>0</v>
      </c>
    </row>
    <row r="105">
      <c r="B105" s="8">
        <v>9.0</v>
      </c>
      <c r="C105" s="20">
        <v>46216.0</v>
      </c>
      <c r="D105" s="22" t="s">
        <v>19</v>
      </c>
      <c r="E105" s="21">
        <v>50000.0</v>
      </c>
      <c r="F105" s="21">
        <f>sum(F103+E105)</f>
        <v>450000</v>
      </c>
      <c r="H105" s="8">
        <v>10.0</v>
      </c>
      <c r="I105" s="20">
        <v>46248.0</v>
      </c>
      <c r="J105" s="22" t="s">
        <v>20</v>
      </c>
      <c r="K105" s="21">
        <v>50000.0</v>
      </c>
      <c r="L105" s="21">
        <f t="shared" si="34"/>
        <v>500000</v>
      </c>
      <c r="N105" s="12"/>
      <c r="O105" s="12"/>
      <c r="P105" s="12"/>
      <c r="Q105" s="21"/>
      <c r="R105" s="21"/>
    </row>
    <row r="106">
      <c r="B106" s="8">
        <v>10.0</v>
      </c>
      <c r="C106" s="20">
        <v>46217.0</v>
      </c>
      <c r="D106" s="22" t="s">
        <v>21</v>
      </c>
      <c r="E106" s="21">
        <v>50000.0</v>
      </c>
      <c r="F106" s="21">
        <f t="shared" ref="F106:F109" si="35">sum(F105+E106)</f>
        <v>500000</v>
      </c>
      <c r="K106" s="21"/>
      <c r="L106" s="21"/>
      <c r="N106" s="8">
        <v>10.0</v>
      </c>
      <c r="O106" s="20">
        <v>46279.0</v>
      </c>
      <c r="P106" s="24" t="s">
        <v>19</v>
      </c>
      <c r="Q106" s="21">
        <v>0.0</v>
      </c>
      <c r="R106" s="21">
        <f>sum(R104+Q106)</f>
        <v>0</v>
      </c>
    </row>
    <row r="107">
      <c r="B107" s="8">
        <v>11.0</v>
      </c>
      <c r="C107" s="20">
        <v>46218.0</v>
      </c>
      <c r="D107" s="22" t="s">
        <v>22</v>
      </c>
      <c r="E107" s="21">
        <v>50000.0</v>
      </c>
      <c r="F107" s="21">
        <f t="shared" si="35"/>
        <v>550000</v>
      </c>
      <c r="H107" s="8">
        <v>11.0</v>
      </c>
      <c r="I107" s="20">
        <v>46251.0</v>
      </c>
      <c r="J107" s="22" t="s">
        <v>19</v>
      </c>
      <c r="K107" s="21">
        <v>0.0</v>
      </c>
      <c r="L107" s="21">
        <f>sum(L105+K107)</f>
        <v>500000</v>
      </c>
      <c r="N107" s="8">
        <v>11.0</v>
      </c>
      <c r="O107" s="20">
        <v>46280.0</v>
      </c>
      <c r="P107" s="24" t="s">
        <v>21</v>
      </c>
      <c r="Q107" s="21">
        <v>0.0</v>
      </c>
      <c r="R107" s="21">
        <f t="shared" ref="R107:R110" si="36">sum(R106+Q107)</f>
        <v>0</v>
      </c>
    </row>
    <row r="108">
      <c r="B108" s="8">
        <v>12.0</v>
      </c>
      <c r="C108" s="20">
        <v>46219.0</v>
      </c>
      <c r="D108" s="22" t="s">
        <v>18</v>
      </c>
      <c r="E108" s="21">
        <v>50000.0</v>
      </c>
      <c r="F108" s="21">
        <f t="shared" si="35"/>
        <v>600000</v>
      </c>
      <c r="H108" s="8">
        <v>12.0</v>
      </c>
      <c r="I108" s="20">
        <v>46252.0</v>
      </c>
      <c r="J108" s="22" t="s">
        <v>21</v>
      </c>
      <c r="K108" s="21">
        <v>100000.0</v>
      </c>
      <c r="L108" s="21">
        <f t="shared" ref="L108:L111" si="37">sum(L107+K108)</f>
        <v>600000</v>
      </c>
      <c r="N108" s="8">
        <v>12.0</v>
      </c>
      <c r="O108" s="20">
        <v>46281.0</v>
      </c>
      <c r="P108" s="24" t="s">
        <v>22</v>
      </c>
      <c r="Q108" s="21">
        <v>0.0</v>
      </c>
      <c r="R108" s="21">
        <f t="shared" si="36"/>
        <v>0</v>
      </c>
    </row>
    <row r="109">
      <c r="B109" s="8">
        <v>13.0</v>
      </c>
      <c r="C109" s="20">
        <v>46220.0</v>
      </c>
      <c r="D109" s="22" t="s">
        <v>20</v>
      </c>
      <c r="E109" s="21">
        <v>50000.0</v>
      </c>
      <c r="F109" s="21">
        <f t="shared" si="35"/>
        <v>650000</v>
      </c>
      <c r="H109" s="8">
        <v>13.0</v>
      </c>
      <c r="I109" s="20">
        <v>46253.0</v>
      </c>
      <c r="J109" s="22" t="s">
        <v>22</v>
      </c>
      <c r="K109" s="21">
        <v>100000.0</v>
      </c>
      <c r="L109" s="21">
        <f t="shared" si="37"/>
        <v>700000</v>
      </c>
      <c r="N109" s="8">
        <v>13.0</v>
      </c>
      <c r="O109" s="20">
        <v>46282.0</v>
      </c>
      <c r="P109" s="24" t="s">
        <v>18</v>
      </c>
      <c r="Q109" s="21">
        <v>0.0</v>
      </c>
      <c r="R109" s="21">
        <f t="shared" si="36"/>
        <v>0</v>
      </c>
    </row>
    <row r="110">
      <c r="B110" s="8"/>
      <c r="E110" s="21"/>
      <c r="F110" s="21"/>
      <c r="H110" s="8">
        <v>14.0</v>
      </c>
      <c r="I110" s="20">
        <v>46254.0</v>
      </c>
      <c r="J110" s="22" t="s">
        <v>18</v>
      </c>
      <c r="K110" s="21">
        <v>0.0</v>
      </c>
      <c r="L110" s="21">
        <f t="shared" si="37"/>
        <v>700000</v>
      </c>
      <c r="N110" s="8">
        <v>14.0</v>
      </c>
      <c r="O110" s="20">
        <v>46283.0</v>
      </c>
      <c r="P110" s="24" t="s">
        <v>20</v>
      </c>
      <c r="Q110" s="21">
        <v>0.0</v>
      </c>
      <c r="R110" s="21">
        <f t="shared" si="36"/>
        <v>0</v>
      </c>
    </row>
    <row r="111">
      <c r="B111" s="8">
        <v>14.0</v>
      </c>
      <c r="C111" s="20">
        <v>46223.0</v>
      </c>
      <c r="D111" s="22" t="s">
        <v>19</v>
      </c>
      <c r="E111" s="21">
        <v>50000.0</v>
      </c>
      <c r="F111" s="21">
        <f>sum(F109+E111)</f>
        <v>700000</v>
      </c>
      <c r="H111" s="8">
        <v>15.0</v>
      </c>
      <c r="I111" s="20">
        <v>46255.0</v>
      </c>
      <c r="J111" s="22" t="s">
        <v>20</v>
      </c>
      <c r="K111" s="21">
        <v>0.0</v>
      </c>
      <c r="L111" s="21">
        <f t="shared" si="37"/>
        <v>700000</v>
      </c>
      <c r="N111" s="12"/>
      <c r="O111" s="12"/>
      <c r="P111" s="12"/>
      <c r="Q111" s="21"/>
      <c r="R111" s="21"/>
    </row>
    <row r="112">
      <c r="B112" s="8">
        <v>15.0</v>
      </c>
      <c r="C112" s="20">
        <v>46224.0</v>
      </c>
      <c r="D112" s="22" t="s">
        <v>21</v>
      </c>
      <c r="E112" s="21">
        <v>50000.0</v>
      </c>
      <c r="F112" s="21">
        <f t="shared" ref="F112:F115" si="38">sum(F111+E112)</f>
        <v>750000</v>
      </c>
      <c r="K112" s="21"/>
      <c r="L112" s="21"/>
      <c r="N112" s="8">
        <v>15.0</v>
      </c>
      <c r="O112" s="20">
        <v>46286.0</v>
      </c>
      <c r="P112" s="24" t="s">
        <v>19</v>
      </c>
      <c r="Q112" s="21">
        <v>0.0</v>
      </c>
      <c r="R112" s="21">
        <f>sum(R110+Q112)</f>
        <v>0</v>
      </c>
    </row>
    <row r="113">
      <c r="B113" s="8">
        <v>16.0</v>
      </c>
      <c r="C113" s="20">
        <v>46225.0</v>
      </c>
      <c r="D113" s="22" t="s">
        <v>22</v>
      </c>
      <c r="E113" s="21">
        <v>50000.0</v>
      </c>
      <c r="F113" s="21">
        <f t="shared" si="38"/>
        <v>800000</v>
      </c>
      <c r="H113" s="8">
        <v>16.0</v>
      </c>
      <c r="I113" s="20">
        <v>46258.0</v>
      </c>
      <c r="J113" s="22" t="s">
        <v>19</v>
      </c>
      <c r="K113" s="21">
        <v>0.0</v>
      </c>
      <c r="L113" s="21">
        <f>sum(L111+K113)</f>
        <v>700000</v>
      </c>
      <c r="N113" s="8">
        <v>16.0</v>
      </c>
      <c r="O113" s="20">
        <v>46287.0</v>
      </c>
      <c r="P113" s="24" t="s">
        <v>21</v>
      </c>
      <c r="Q113" s="21">
        <v>0.0</v>
      </c>
      <c r="R113" s="21">
        <f t="shared" ref="R113:R116" si="39">sum(R112+Q113)</f>
        <v>0</v>
      </c>
    </row>
    <row r="114">
      <c r="B114" s="8">
        <v>17.0</v>
      </c>
      <c r="C114" s="20">
        <v>46226.0</v>
      </c>
      <c r="D114" s="22" t="s">
        <v>18</v>
      </c>
      <c r="E114" s="21">
        <v>50000.0</v>
      </c>
      <c r="F114" s="21">
        <f t="shared" si="38"/>
        <v>850000</v>
      </c>
      <c r="H114" s="8">
        <v>17.0</v>
      </c>
      <c r="I114" s="20">
        <v>46259.0</v>
      </c>
      <c r="J114" s="22" t="s">
        <v>21</v>
      </c>
      <c r="K114" s="21">
        <v>0.0</v>
      </c>
      <c r="L114" s="21">
        <f t="shared" ref="L114:L117" si="40">sum(L113+K114)</f>
        <v>700000</v>
      </c>
      <c r="N114" s="8">
        <v>17.0</v>
      </c>
      <c r="O114" s="20">
        <v>46288.0</v>
      </c>
      <c r="P114" s="24" t="s">
        <v>22</v>
      </c>
      <c r="Q114" s="21">
        <v>0.0</v>
      </c>
      <c r="R114" s="21">
        <f t="shared" si="39"/>
        <v>0</v>
      </c>
    </row>
    <row r="115">
      <c r="B115" s="8">
        <v>18.0</v>
      </c>
      <c r="C115" s="20">
        <v>46227.0</v>
      </c>
      <c r="D115" s="22" t="s">
        <v>20</v>
      </c>
      <c r="E115" s="21">
        <v>50000.0</v>
      </c>
      <c r="F115" s="21">
        <f t="shared" si="38"/>
        <v>900000</v>
      </c>
      <c r="H115" s="8">
        <v>18.0</v>
      </c>
      <c r="I115" s="20">
        <v>46260.0</v>
      </c>
      <c r="J115" s="22" t="s">
        <v>22</v>
      </c>
      <c r="K115" s="21">
        <v>0.0</v>
      </c>
      <c r="L115" s="21">
        <f t="shared" si="40"/>
        <v>700000</v>
      </c>
      <c r="N115" s="8">
        <v>18.0</v>
      </c>
      <c r="O115" s="20">
        <v>46289.0</v>
      </c>
      <c r="P115" s="24" t="s">
        <v>18</v>
      </c>
      <c r="Q115" s="21">
        <v>0.0</v>
      </c>
      <c r="R115" s="21">
        <f t="shared" si="39"/>
        <v>0</v>
      </c>
    </row>
    <row r="116">
      <c r="B116" s="8"/>
      <c r="D116" s="22"/>
      <c r="E116" s="21"/>
      <c r="F116" s="21"/>
      <c r="H116" s="8">
        <v>19.0</v>
      </c>
      <c r="I116" s="20">
        <v>46261.0</v>
      </c>
      <c r="J116" s="22" t="s">
        <v>18</v>
      </c>
      <c r="K116" s="21">
        <v>0.0</v>
      </c>
      <c r="L116" s="21">
        <f t="shared" si="40"/>
        <v>700000</v>
      </c>
      <c r="N116" s="8">
        <v>19.0</v>
      </c>
      <c r="O116" s="20">
        <v>46290.0</v>
      </c>
      <c r="P116" s="24" t="s">
        <v>20</v>
      </c>
      <c r="Q116" s="21">
        <v>0.0</v>
      </c>
      <c r="R116" s="21">
        <f t="shared" si="39"/>
        <v>0</v>
      </c>
    </row>
    <row r="117">
      <c r="B117" s="8">
        <v>19.0</v>
      </c>
      <c r="C117" s="20">
        <v>46230.0</v>
      </c>
      <c r="D117" s="22" t="s">
        <v>19</v>
      </c>
      <c r="E117" s="21">
        <v>50000.0</v>
      </c>
      <c r="F117" s="21">
        <f>sum(F115+E117)</f>
        <v>950000</v>
      </c>
      <c r="H117" s="8">
        <v>20.0</v>
      </c>
      <c r="I117" s="20">
        <v>46262.0</v>
      </c>
      <c r="J117" s="22" t="s">
        <v>20</v>
      </c>
      <c r="K117" s="21">
        <v>0.0</v>
      </c>
      <c r="L117" s="21">
        <f t="shared" si="40"/>
        <v>700000</v>
      </c>
      <c r="N117" s="12"/>
      <c r="O117" s="12"/>
      <c r="P117" s="12"/>
      <c r="Q117" s="21"/>
      <c r="R117" s="21"/>
    </row>
    <row r="118">
      <c r="B118" s="8">
        <v>20.0</v>
      </c>
      <c r="C118" s="20">
        <v>46231.0</v>
      </c>
      <c r="D118" s="22" t="s">
        <v>21</v>
      </c>
      <c r="E118" s="21">
        <v>50000.0</v>
      </c>
      <c r="F118" s="21">
        <f t="shared" ref="F118:F121" si="41">sum(F117+E118)</f>
        <v>1000000</v>
      </c>
      <c r="K118" s="21"/>
      <c r="L118" s="21"/>
      <c r="N118" s="8">
        <v>20.0</v>
      </c>
      <c r="O118" s="20">
        <v>46293.0</v>
      </c>
      <c r="P118" s="24" t="s">
        <v>19</v>
      </c>
      <c r="Q118" s="21">
        <v>0.0</v>
      </c>
      <c r="R118" s="21">
        <f>sum(R116+Q118)</f>
        <v>0</v>
      </c>
    </row>
    <row r="119">
      <c r="B119" s="8">
        <v>21.0</v>
      </c>
      <c r="C119" s="20">
        <v>46232.0</v>
      </c>
      <c r="D119" s="22" t="s">
        <v>22</v>
      </c>
      <c r="E119" s="21">
        <v>50000.0</v>
      </c>
      <c r="F119" s="21">
        <f t="shared" si="41"/>
        <v>1050000</v>
      </c>
      <c r="H119" s="8">
        <v>21.0</v>
      </c>
      <c r="I119" s="20">
        <v>46265.0</v>
      </c>
      <c r="J119" s="22" t="s">
        <v>19</v>
      </c>
      <c r="K119" s="21">
        <v>0.0</v>
      </c>
      <c r="L119" s="21">
        <f>sum(L117+K119)</f>
        <v>700000</v>
      </c>
      <c r="N119" s="8">
        <v>21.0</v>
      </c>
      <c r="O119" s="20">
        <v>46294.0</v>
      </c>
      <c r="P119" s="24" t="s">
        <v>21</v>
      </c>
      <c r="Q119" s="21">
        <v>0.0</v>
      </c>
      <c r="R119" s="21">
        <f t="shared" ref="R119:R120" si="42">sum(R118+Q119)</f>
        <v>0</v>
      </c>
    </row>
    <row r="120">
      <c r="B120" s="8">
        <v>22.0</v>
      </c>
      <c r="C120" s="20">
        <v>46233.0</v>
      </c>
      <c r="D120" s="22" t="s">
        <v>18</v>
      </c>
      <c r="E120" s="21">
        <v>50000.0</v>
      </c>
      <c r="F120" s="21">
        <f t="shared" si="41"/>
        <v>1100000</v>
      </c>
      <c r="H120" s="13" t="s">
        <v>35</v>
      </c>
      <c r="K120" s="23">
        <f>L119</f>
        <v>700000</v>
      </c>
      <c r="N120" s="8">
        <v>22.0</v>
      </c>
      <c r="O120" s="20">
        <v>46295.0</v>
      </c>
      <c r="P120" s="24" t="s">
        <v>22</v>
      </c>
      <c r="Q120" s="21">
        <v>0.0</v>
      </c>
      <c r="R120" s="21">
        <f t="shared" si="42"/>
        <v>0</v>
      </c>
    </row>
    <row r="121">
      <c r="B121" s="8">
        <v>23.0</v>
      </c>
      <c r="C121" s="20">
        <v>46234.0</v>
      </c>
      <c r="D121" s="22" t="s">
        <v>20</v>
      </c>
      <c r="E121" s="21">
        <v>100000.0</v>
      </c>
      <c r="F121" s="21">
        <f t="shared" si="41"/>
        <v>1200000</v>
      </c>
      <c r="N121" s="13" t="s">
        <v>36</v>
      </c>
      <c r="Q121" s="23">
        <f>R120</f>
        <v>0</v>
      </c>
    </row>
    <row r="122">
      <c r="B122" s="13" t="s">
        <v>37</v>
      </c>
      <c r="E122" s="23">
        <f>F121</f>
        <v>1200000</v>
      </c>
    </row>
    <row r="123">
      <c r="I123" s="20"/>
    </row>
    <row r="124">
      <c r="I124" s="20"/>
    </row>
    <row r="125">
      <c r="B125" s="28" t="s">
        <v>38</v>
      </c>
      <c r="H125" s="28" t="s">
        <v>39</v>
      </c>
      <c r="N125" s="28" t="s">
        <v>40</v>
      </c>
    </row>
    <row r="127">
      <c r="B127" s="26" t="s">
        <v>6</v>
      </c>
      <c r="C127" s="26" t="s">
        <v>17</v>
      </c>
      <c r="D127" s="26" t="s">
        <v>11</v>
      </c>
      <c r="E127" s="26" t="s">
        <v>9</v>
      </c>
      <c r="F127" s="26" t="s">
        <v>10</v>
      </c>
      <c r="H127" s="26" t="s">
        <v>6</v>
      </c>
      <c r="I127" s="26" t="s">
        <v>17</v>
      </c>
      <c r="J127" s="26" t="s">
        <v>11</v>
      </c>
      <c r="K127" s="26" t="s">
        <v>9</v>
      </c>
      <c r="L127" s="26" t="s">
        <v>10</v>
      </c>
      <c r="N127" s="26" t="s">
        <v>6</v>
      </c>
      <c r="O127" s="26" t="s">
        <v>17</v>
      </c>
      <c r="P127" s="26" t="s">
        <v>11</v>
      </c>
      <c r="Q127" s="26" t="s">
        <v>9</v>
      </c>
      <c r="R127" s="26" t="s">
        <v>10</v>
      </c>
    </row>
    <row r="128">
      <c r="B128" s="8">
        <v>1.0</v>
      </c>
      <c r="C128" s="20">
        <v>46296.0</v>
      </c>
      <c r="D128" s="12" t="s">
        <v>18</v>
      </c>
      <c r="E128" s="21">
        <v>0.0</v>
      </c>
      <c r="F128" s="21">
        <f>(E128)</f>
        <v>0</v>
      </c>
      <c r="H128" s="8">
        <v>1.0</v>
      </c>
      <c r="I128" s="29">
        <v>46328.0</v>
      </c>
      <c r="J128" s="22" t="s">
        <v>19</v>
      </c>
      <c r="K128" s="21">
        <v>0.0</v>
      </c>
      <c r="L128" s="21">
        <f>(K128)</f>
        <v>0</v>
      </c>
      <c r="N128" s="8">
        <v>1.0</v>
      </c>
      <c r="O128" s="20">
        <v>46357.0</v>
      </c>
      <c r="P128" s="22" t="s">
        <v>21</v>
      </c>
      <c r="Q128" s="21">
        <v>0.0</v>
      </c>
      <c r="R128" s="21">
        <f>(Q128)</f>
        <v>0</v>
      </c>
    </row>
    <row r="129">
      <c r="B129" s="8">
        <v>2.0</v>
      </c>
      <c r="C129" s="20">
        <v>46297.0</v>
      </c>
      <c r="D129" s="12" t="s">
        <v>20</v>
      </c>
      <c r="E129" s="21">
        <v>0.0</v>
      </c>
      <c r="F129" s="21">
        <f>sum(F128+E129)</f>
        <v>0</v>
      </c>
      <c r="H129" s="8">
        <v>2.0</v>
      </c>
      <c r="I129" s="29">
        <v>46329.0</v>
      </c>
      <c r="J129" s="22" t="s">
        <v>21</v>
      </c>
      <c r="K129" s="21">
        <v>0.0</v>
      </c>
      <c r="L129" s="21">
        <f t="shared" ref="L129:L132" si="43">sum(L128+K129)</f>
        <v>0</v>
      </c>
      <c r="N129" s="8">
        <v>2.0</v>
      </c>
      <c r="O129" s="20">
        <v>46358.0</v>
      </c>
      <c r="P129" s="22" t="s">
        <v>22</v>
      </c>
      <c r="Q129" s="21">
        <v>0.0</v>
      </c>
      <c r="R129" s="21">
        <f t="shared" ref="R129:R131" si="44">sum(R128+Q129)</f>
        <v>0</v>
      </c>
    </row>
    <row r="130">
      <c r="C130" s="20"/>
      <c r="E130" s="21"/>
      <c r="F130" s="21"/>
      <c r="H130" s="8">
        <v>3.0</v>
      </c>
      <c r="I130" s="29">
        <v>46330.0</v>
      </c>
      <c r="J130" s="22" t="s">
        <v>22</v>
      </c>
      <c r="K130" s="21">
        <v>0.0</v>
      </c>
      <c r="L130" s="21">
        <f t="shared" si="43"/>
        <v>0</v>
      </c>
      <c r="N130" s="8">
        <v>3.0</v>
      </c>
      <c r="O130" s="20">
        <v>46359.0</v>
      </c>
      <c r="P130" s="22" t="s">
        <v>18</v>
      </c>
      <c r="Q130" s="21">
        <v>0.0</v>
      </c>
      <c r="R130" s="21">
        <f t="shared" si="44"/>
        <v>0</v>
      </c>
    </row>
    <row r="131">
      <c r="B131" s="8">
        <v>3.0</v>
      </c>
      <c r="C131" s="20">
        <v>46300.0</v>
      </c>
      <c r="D131" s="22" t="s">
        <v>19</v>
      </c>
      <c r="E131" s="21">
        <v>0.0</v>
      </c>
      <c r="F131" s="21">
        <f>sum(F129+E131)</f>
        <v>0</v>
      </c>
      <c r="H131" s="8">
        <v>4.0</v>
      </c>
      <c r="I131" s="29">
        <v>46331.0</v>
      </c>
      <c r="J131" s="22" t="s">
        <v>18</v>
      </c>
      <c r="K131" s="21">
        <v>0.0</v>
      </c>
      <c r="L131" s="21">
        <f t="shared" si="43"/>
        <v>0</v>
      </c>
      <c r="N131" s="8">
        <v>4.0</v>
      </c>
      <c r="O131" s="20">
        <v>46360.0</v>
      </c>
      <c r="P131" s="22" t="s">
        <v>20</v>
      </c>
      <c r="Q131" s="21">
        <v>0.0</v>
      </c>
      <c r="R131" s="21">
        <f t="shared" si="44"/>
        <v>0</v>
      </c>
    </row>
    <row r="132">
      <c r="B132" s="8">
        <v>4.0</v>
      </c>
      <c r="C132" s="20">
        <v>46301.0</v>
      </c>
      <c r="D132" s="22" t="s">
        <v>21</v>
      </c>
      <c r="E132" s="21">
        <v>0.0</v>
      </c>
      <c r="F132" s="21">
        <f t="shared" ref="F132:F135" si="45">sum(F131+E132)</f>
        <v>0</v>
      </c>
      <c r="H132" s="8">
        <v>5.0</v>
      </c>
      <c r="I132" s="29">
        <v>46332.0</v>
      </c>
      <c r="J132" s="22" t="s">
        <v>20</v>
      </c>
      <c r="K132" s="21">
        <v>0.0</v>
      </c>
      <c r="L132" s="21">
        <f t="shared" si="43"/>
        <v>0</v>
      </c>
      <c r="O132" s="20"/>
      <c r="Q132" s="21"/>
      <c r="R132" s="21"/>
    </row>
    <row r="133">
      <c r="B133" s="8">
        <v>5.0</v>
      </c>
      <c r="C133" s="20">
        <v>46302.0</v>
      </c>
      <c r="D133" s="22" t="s">
        <v>22</v>
      </c>
      <c r="E133" s="21">
        <v>0.0</v>
      </c>
      <c r="F133" s="21">
        <f t="shared" si="45"/>
        <v>0</v>
      </c>
      <c r="K133" s="21"/>
      <c r="L133" s="21"/>
      <c r="N133" s="8">
        <v>5.0</v>
      </c>
      <c r="O133" s="20">
        <v>46363.0</v>
      </c>
      <c r="P133" s="22" t="s">
        <v>19</v>
      </c>
      <c r="Q133" s="21">
        <v>0.0</v>
      </c>
      <c r="R133" s="21">
        <f>sum(R131+Q133)</f>
        <v>0</v>
      </c>
    </row>
    <row r="134">
      <c r="B134" s="8">
        <v>6.0</v>
      </c>
      <c r="C134" s="20">
        <v>46303.0</v>
      </c>
      <c r="D134" s="22" t="s">
        <v>18</v>
      </c>
      <c r="E134" s="21">
        <v>0.0</v>
      </c>
      <c r="F134" s="21">
        <f t="shared" si="45"/>
        <v>0</v>
      </c>
      <c r="H134" s="8">
        <v>6.0</v>
      </c>
      <c r="I134" s="29">
        <v>46335.0</v>
      </c>
      <c r="J134" s="22" t="s">
        <v>19</v>
      </c>
      <c r="K134" s="21">
        <v>0.0</v>
      </c>
      <c r="L134" s="21">
        <f>sum(L132+K134)</f>
        <v>0</v>
      </c>
      <c r="N134" s="8">
        <v>6.0</v>
      </c>
      <c r="O134" s="20">
        <v>46364.0</v>
      </c>
      <c r="P134" s="22" t="s">
        <v>21</v>
      </c>
      <c r="Q134" s="21">
        <v>0.0</v>
      </c>
      <c r="R134" s="21">
        <f t="shared" ref="R134:R137" si="46">sum(R133+Q134)</f>
        <v>0</v>
      </c>
    </row>
    <row r="135">
      <c r="B135" s="8">
        <v>7.0</v>
      </c>
      <c r="C135" s="20">
        <v>46304.0</v>
      </c>
      <c r="D135" s="22" t="s">
        <v>20</v>
      </c>
      <c r="E135" s="21">
        <v>0.0</v>
      </c>
      <c r="F135" s="21">
        <f t="shared" si="45"/>
        <v>0</v>
      </c>
      <c r="H135" s="8">
        <v>7.0</v>
      </c>
      <c r="I135" s="30">
        <v>46336.0</v>
      </c>
      <c r="J135" s="22" t="s">
        <v>21</v>
      </c>
      <c r="K135" s="21">
        <v>0.0</v>
      </c>
      <c r="L135" s="21">
        <f t="shared" ref="L135:L138" si="47">sum(L134+K135)</f>
        <v>0</v>
      </c>
      <c r="N135" s="8">
        <v>7.0</v>
      </c>
      <c r="O135" s="20">
        <v>46365.0</v>
      </c>
      <c r="P135" s="22" t="s">
        <v>22</v>
      </c>
      <c r="Q135" s="21">
        <v>0.0</v>
      </c>
      <c r="R135" s="21">
        <f t="shared" si="46"/>
        <v>0</v>
      </c>
    </row>
    <row r="136">
      <c r="E136" s="21"/>
      <c r="F136" s="21"/>
      <c r="H136" s="8">
        <v>8.0</v>
      </c>
      <c r="I136" s="30">
        <v>46337.0</v>
      </c>
      <c r="J136" s="22" t="s">
        <v>22</v>
      </c>
      <c r="K136" s="21">
        <v>0.0</v>
      </c>
      <c r="L136" s="21">
        <f t="shared" si="47"/>
        <v>0</v>
      </c>
      <c r="N136" s="8">
        <v>8.0</v>
      </c>
      <c r="O136" s="20">
        <v>46366.0</v>
      </c>
      <c r="P136" s="22" t="s">
        <v>18</v>
      </c>
      <c r="Q136" s="21">
        <v>0.0</v>
      </c>
      <c r="R136" s="21">
        <f t="shared" si="46"/>
        <v>0</v>
      </c>
    </row>
    <row r="137">
      <c r="B137" s="8">
        <v>8.0</v>
      </c>
      <c r="C137" s="20">
        <v>46307.0</v>
      </c>
      <c r="D137" s="22" t="s">
        <v>19</v>
      </c>
      <c r="E137" s="21">
        <v>0.0</v>
      </c>
      <c r="F137" s="21">
        <f>sum(F135+E137)</f>
        <v>0</v>
      </c>
      <c r="H137" s="8">
        <v>9.0</v>
      </c>
      <c r="I137" s="30">
        <v>46338.0</v>
      </c>
      <c r="J137" s="22" t="s">
        <v>18</v>
      </c>
      <c r="K137" s="21">
        <v>0.0</v>
      </c>
      <c r="L137" s="21">
        <f t="shared" si="47"/>
        <v>0</v>
      </c>
      <c r="N137" s="8">
        <v>9.0</v>
      </c>
      <c r="O137" s="20">
        <v>46367.0</v>
      </c>
      <c r="P137" s="22" t="s">
        <v>20</v>
      </c>
      <c r="Q137" s="21">
        <v>0.0</v>
      </c>
      <c r="R137" s="21">
        <f t="shared" si="46"/>
        <v>0</v>
      </c>
    </row>
    <row r="138">
      <c r="B138" s="8">
        <v>9.0</v>
      </c>
      <c r="C138" s="20">
        <v>46308.0</v>
      </c>
      <c r="D138" s="22" t="s">
        <v>21</v>
      </c>
      <c r="E138" s="21">
        <v>0.0</v>
      </c>
      <c r="F138" s="21">
        <f t="shared" ref="F138:F141" si="48">sum(F137+E138)</f>
        <v>0</v>
      </c>
      <c r="H138" s="8">
        <v>10.0</v>
      </c>
      <c r="I138" s="30">
        <v>46339.0</v>
      </c>
      <c r="J138" s="22" t="s">
        <v>20</v>
      </c>
      <c r="K138" s="21">
        <v>0.0</v>
      </c>
      <c r="L138" s="21">
        <f t="shared" si="47"/>
        <v>0</v>
      </c>
      <c r="Q138" s="21"/>
      <c r="R138" s="21"/>
    </row>
    <row r="139">
      <c r="B139" s="8">
        <v>10.0</v>
      </c>
      <c r="C139" s="20">
        <v>46309.0</v>
      </c>
      <c r="D139" s="22" t="s">
        <v>22</v>
      </c>
      <c r="E139" s="21">
        <v>0.0</v>
      </c>
      <c r="F139" s="21">
        <f t="shared" si="48"/>
        <v>0</v>
      </c>
      <c r="K139" s="21"/>
      <c r="L139" s="21"/>
      <c r="N139" s="8">
        <v>10.0</v>
      </c>
      <c r="O139" s="20">
        <v>46370.0</v>
      </c>
      <c r="P139" s="22" t="s">
        <v>19</v>
      </c>
      <c r="Q139" s="21">
        <v>0.0</v>
      </c>
      <c r="R139" s="21">
        <f>sum(R137+Q139)</f>
        <v>0</v>
      </c>
    </row>
    <row r="140">
      <c r="B140" s="8">
        <v>11.0</v>
      </c>
      <c r="C140" s="20">
        <v>46310.0</v>
      </c>
      <c r="D140" s="22" t="s">
        <v>18</v>
      </c>
      <c r="E140" s="21">
        <v>0.0</v>
      </c>
      <c r="F140" s="21">
        <f t="shared" si="48"/>
        <v>0</v>
      </c>
      <c r="H140" s="8">
        <v>11.0</v>
      </c>
      <c r="I140" s="30">
        <v>46342.0</v>
      </c>
      <c r="J140" s="22" t="s">
        <v>19</v>
      </c>
      <c r="K140" s="21">
        <v>0.0</v>
      </c>
      <c r="L140" s="21">
        <f>sum(L138+K140)</f>
        <v>0</v>
      </c>
      <c r="N140" s="8">
        <v>11.0</v>
      </c>
      <c r="O140" s="20">
        <v>46371.0</v>
      </c>
      <c r="P140" s="22" t="s">
        <v>21</v>
      </c>
      <c r="Q140" s="21">
        <v>0.0</v>
      </c>
      <c r="R140" s="21">
        <f t="shared" ref="R140:R143" si="49">sum(R139+Q140)</f>
        <v>0</v>
      </c>
    </row>
    <row r="141">
      <c r="B141" s="8">
        <v>12.0</v>
      </c>
      <c r="C141" s="20">
        <v>46311.0</v>
      </c>
      <c r="D141" s="22" t="s">
        <v>20</v>
      </c>
      <c r="E141" s="21">
        <v>0.0</v>
      </c>
      <c r="F141" s="21">
        <f t="shared" si="48"/>
        <v>0</v>
      </c>
      <c r="H141" s="8">
        <v>12.0</v>
      </c>
      <c r="I141" s="30">
        <v>46343.0</v>
      </c>
      <c r="J141" s="22" t="s">
        <v>21</v>
      </c>
      <c r="K141" s="21">
        <v>0.0</v>
      </c>
      <c r="L141" s="21">
        <f t="shared" ref="L141:L144" si="50">sum(L140+K141)</f>
        <v>0</v>
      </c>
      <c r="N141" s="8">
        <v>12.0</v>
      </c>
      <c r="O141" s="20">
        <v>46372.0</v>
      </c>
      <c r="P141" s="22" t="s">
        <v>22</v>
      </c>
      <c r="Q141" s="21">
        <v>0.0</v>
      </c>
      <c r="R141" s="21">
        <f t="shared" si="49"/>
        <v>0</v>
      </c>
    </row>
    <row r="142">
      <c r="E142" s="21"/>
      <c r="F142" s="21"/>
      <c r="H142" s="8">
        <v>13.0</v>
      </c>
      <c r="I142" s="30">
        <v>46344.0</v>
      </c>
      <c r="J142" s="22" t="s">
        <v>22</v>
      </c>
      <c r="K142" s="21">
        <v>0.0</v>
      </c>
      <c r="L142" s="21">
        <f t="shared" si="50"/>
        <v>0</v>
      </c>
      <c r="N142" s="8">
        <v>13.0</v>
      </c>
      <c r="O142" s="20">
        <v>46373.0</v>
      </c>
      <c r="P142" s="22" t="s">
        <v>18</v>
      </c>
      <c r="Q142" s="21">
        <v>0.0</v>
      </c>
      <c r="R142" s="21">
        <f t="shared" si="49"/>
        <v>0</v>
      </c>
    </row>
    <row r="143">
      <c r="B143" s="8">
        <v>13.0</v>
      </c>
      <c r="C143" s="20">
        <v>46314.0</v>
      </c>
      <c r="D143" s="22" t="s">
        <v>19</v>
      </c>
      <c r="E143" s="21">
        <v>0.0</v>
      </c>
      <c r="F143" s="21">
        <f>sum(F141+E143)</f>
        <v>0</v>
      </c>
      <c r="H143" s="8">
        <v>14.0</v>
      </c>
      <c r="I143" s="30">
        <v>46345.0</v>
      </c>
      <c r="J143" s="22" t="s">
        <v>18</v>
      </c>
      <c r="K143" s="21">
        <v>0.0</v>
      </c>
      <c r="L143" s="21">
        <f t="shared" si="50"/>
        <v>0</v>
      </c>
      <c r="N143" s="8">
        <v>14.0</v>
      </c>
      <c r="O143" s="20">
        <v>46374.0</v>
      </c>
      <c r="P143" s="22" t="s">
        <v>20</v>
      </c>
      <c r="Q143" s="21">
        <v>0.0</v>
      </c>
      <c r="R143" s="21">
        <f t="shared" si="49"/>
        <v>0</v>
      </c>
    </row>
    <row r="144">
      <c r="B144" s="8">
        <v>14.0</v>
      </c>
      <c r="C144" s="20">
        <v>46315.0</v>
      </c>
      <c r="D144" s="22" t="s">
        <v>21</v>
      </c>
      <c r="E144" s="21">
        <v>0.0</v>
      </c>
      <c r="F144" s="21">
        <f t="shared" ref="F144:F147" si="51">sum(F143+E144)</f>
        <v>0</v>
      </c>
      <c r="H144" s="8">
        <v>15.0</v>
      </c>
      <c r="I144" s="30">
        <v>46346.0</v>
      </c>
      <c r="J144" s="22" t="s">
        <v>20</v>
      </c>
      <c r="K144" s="21">
        <v>0.0</v>
      </c>
      <c r="L144" s="21">
        <f t="shared" si="50"/>
        <v>0</v>
      </c>
      <c r="Q144" s="21"/>
      <c r="R144" s="21"/>
    </row>
    <row r="145">
      <c r="B145" s="8">
        <v>15.0</v>
      </c>
      <c r="C145" s="20">
        <v>46316.0</v>
      </c>
      <c r="D145" s="22" t="s">
        <v>22</v>
      </c>
      <c r="E145" s="21">
        <v>0.0</v>
      </c>
      <c r="F145" s="21">
        <f t="shared" si="51"/>
        <v>0</v>
      </c>
      <c r="K145" s="21"/>
      <c r="L145" s="21"/>
      <c r="N145" s="8">
        <v>15.0</v>
      </c>
      <c r="O145" s="20">
        <v>46377.0</v>
      </c>
      <c r="P145" s="22" t="s">
        <v>19</v>
      </c>
      <c r="Q145" s="21">
        <v>0.0</v>
      </c>
      <c r="R145" s="21">
        <f>sum(R143+Q145)</f>
        <v>0</v>
      </c>
    </row>
    <row r="146">
      <c r="B146" s="8">
        <v>16.0</v>
      </c>
      <c r="C146" s="20">
        <v>46317.0</v>
      </c>
      <c r="D146" s="22" t="s">
        <v>18</v>
      </c>
      <c r="E146" s="21">
        <v>0.0</v>
      </c>
      <c r="F146" s="21">
        <f t="shared" si="51"/>
        <v>0</v>
      </c>
      <c r="H146" s="8">
        <v>16.0</v>
      </c>
      <c r="I146" s="30">
        <v>46349.0</v>
      </c>
      <c r="J146" s="22" t="s">
        <v>19</v>
      </c>
      <c r="K146" s="21">
        <v>0.0</v>
      </c>
      <c r="L146" s="21">
        <f>sum(L144+K146)</f>
        <v>0</v>
      </c>
      <c r="N146" s="8">
        <v>16.0</v>
      </c>
      <c r="O146" s="20">
        <v>46378.0</v>
      </c>
      <c r="P146" s="22" t="s">
        <v>21</v>
      </c>
      <c r="Q146" s="21">
        <v>0.0</v>
      </c>
      <c r="R146" s="21">
        <f t="shared" ref="R146:R149" si="52">sum(R145+Q146)</f>
        <v>0</v>
      </c>
    </row>
    <row r="147">
      <c r="B147" s="8">
        <v>17.0</v>
      </c>
      <c r="C147" s="20">
        <v>46318.0</v>
      </c>
      <c r="D147" s="22" t="s">
        <v>20</v>
      </c>
      <c r="E147" s="21">
        <v>0.0</v>
      </c>
      <c r="F147" s="21">
        <f t="shared" si="51"/>
        <v>0</v>
      </c>
      <c r="H147" s="8">
        <v>17.0</v>
      </c>
      <c r="I147" s="30">
        <v>46350.0</v>
      </c>
      <c r="J147" s="22" t="s">
        <v>21</v>
      </c>
      <c r="K147" s="21">
        <v>0.0</v>
      </c>
      <c r="L147" s="21">
        <f t="shared" ref="L147:L150" si="53">sum(L146+K147)</f>
        <v>0</v>
      </c>
      <c r="N147" s="8">
        <v>17.0</v>
      </c>
      <c r="O147" s="20">
        <v>46379.0</v>
      </c>
      <c r="P147" s="22" t="s">
        <v>22</v>
      </c>
      <c r="Q147" s="21">
        <v>0.0</v>
      </c>
      <c r="R147" s="21">
        <f t="shared" si="52"/>
        <v>0</v>
      </c>
    </row>
    <row r="148">
      <c r="E148" s="21"/>
      <c r="F148" s="21"/>
      <c r="H148" s="8">
        <v>18.0</v>
      </c>
      <c r="I148" s="30">
        <v>46351.0</v>
      </c>
      <c r="J148" s="22" t="s">
        <v>22</v>
      </c>
      <c r="K148" s="21">
        <v>0.0</v>
      </c>
      <c r="L148" s="21">
        <f t="shared" si="53"/>
        <v>0</v>
      </c>
      <c r="N148" s="8">
        <v>18.0</v>
      </c>
      <c r="O148" s="20">
        <v>46380.0</v>
      </c>
      <c r="P148" s="22" t="s">
        <v>18</v>
      </c>
      <c r="Q148" s="21">
        <v>0.0</v>
      </c>
      <c r="R148" s="21">
        <f t="shared" si="52"/>
        <v>0</v>
      </c>
    </row>
    <row r="149">
      <c r="B149" s="8">
        <v>18.0</v>
      </c>
      <c r="C149" s="20">
        <v>46321.0</v>
      </c>
      <c r="D149" s="22" t="s">
        <v>19</v>
      </c>
      <c r="E149" s="21">
        <v>0.0</v>
      </c>
      <c r="F149" s="21">
        <f>sum(F147+E149)</f>
        <v>0</v>
      </c>
      <c r="H149" s="8">
        <v>19.0</v>
      </c>
      <c r="I149" s="30">
        <v>46352.0</v>
      </c>
      <c r="J149" s="22" t="s">
        <v>18</v>
      </c>
      <c r="K149" s="21">
        <v>0.0</v>
      </c>
      <c r="L149" s="21">
        <f t="shared" si="53"/>
        <v>0</v>
      </c>
      <c r="N149" s="8">
        <v>19.0</v>
      </c>
      <c r="O149" s="20">
        <v>46381.0</v>
      </c>
      <c r="P149" s="22" t="s">
        <v>20</v>
      </c>
      <c r="Q149" s="21">
        <v>0.0</v>
      </c>
      <c r="R149" s="21">
        <f t="shared" si="52"/>
        <v>0</v>
      </c>
    </row>
    <row r="150">
      <c r="B150" s="8">
        <v>19.0</v>
      </c>
      <c r="C150" s="20">
        <v>46322.0</v>
      </c>
      <c r="D150" s="22" t="s">
        <v>21</v>
      </c>
      <c r="E150" s="21">
        <v>0.0</v>
      </c>
      <c r="F150" s="21">
        <f t="shared" ref="F150:F153" si="54">sum(F149+E150)</f>
        <v>0</v>
      </c>
      <c r="H150" s="8">
        <v>20.0</v>
      </c>
      <c r="I150" s="30">
        <v>46353.0</v>
      </c>
      <c r="J150" s="22" t="s">
        <v>20</v>
      </c>
      <c r="K150" s="21">
        <v>0.0</v>
      </c>
      <c r="L150" s="21">
        <f t="shared" si="53"/>
        <v>0</v>
      </c>
      <c r="Q150" s="21"/>
      <c r="R150" s="21"/>
    </row>
    <row r="151">
      <c r="B151" s="8">
        <v>20.0</v>
      </c>
      <c r="C151" s="20">
        <v>46323.0</v>
      </c>
      <c r="D151" s="22" t="s">
        <v>22</v>
      </c>
      <c r="E151" s="21">
        <v>0.0</v>
      </c>
      <c r="F151" s="21">
        <f t="shared" si="54"/>
        <v>0</v>
      </c>
      <c r="K151" s="21"/>
      <c r="L151" s="21"/>
      <c r="N151" s="8">
        <v>20.0</v>
      </c>
      <c r="O151" s="20">
        <v>46384.0</v>
      </c>
      <c r="P151" s="22" t="s">
        <v>19</v>
      </c>
      <c r="Q151" s="21">
        <v>0.0</v>
      </c>
      <c r="R151" s="21">
        <f>sum(R149+Q151)</f>
        <v>0</v>
      </c>
    </row>
    <row r="152">
      <c r="B152" s="8">
        <v>21.0</v>
      </c>
      <c r="C152" s="20">
        <v>46324.0</v>
      </c>
      <c r="D152" s="22" t="s">
        <v>18</v>
      </c>
      <c r="E152" s="21">
        <v>0.0</v>
      </c>
      <c r="F152" s="21">
        <f t="shared" si="54"/>
        <v>0</v>
      </c>
      <c r="H152" s="8">
        <v>21.0</v>
      </c>
      <c r="I152" s="30">
        <v>46356.0</v>
      </c>
      <c r="J152" s="22" t="s">
        <v>19</v>
      </c>
      <c r="K152" s="21">
        <v>0.0</v>
      </c>
      <c r="L152" s="21">
        <f>sum(L150+K152)</f>
        <v>0</v>
      </c>
      <c r="N152" s="8">
        <v>21.0</v>
      </c>
      <c r="O152" s="20">
        <v>46385.0</v>
      </c>
      <c r="P152" s="22" t="s">
        <v>21</v>
      </c>
      <c r="Q152" s="21">
        <v>0.0</v>
      </c>
      <c r="R152" s="21">
        <f t="shared" ref="R152:R154" si="55">sum(R151+Q152)</f>
        <v>0</v>
      </c>
    </row>
    <row r="153">
      <c r="B153" s="8">
        <v>22.0</v>
      </c>
      <c r="C153" s="20">
        <v>46325.0</v>
      </c>
      <c r="D153" s="22" t="s">
        <v>20</v>
      </c>
      <c r="E153" s="21">
        <v>0.0</v>
      </c>
      <c r="F153" s="21">
        <f t="shared" si="54"/>
        <v>0</v>
      </c>
      <c r="H153" s="13" t="s">
        <v>41</v>
      </c>
      <c r="K153" s="23">
        <f>L152</f>
        <v>0</v>
      </c>
      <c r="N153" s="8">
        <v>22.0</v>
      </c>
      <c r="O153" s="20">
        <v>46386.0</v>
      </c>
      <c r="P153" s="22" t="s">
        <v>22</v>
      </c>
      <c r="Q153" s="21">
        <v>0.0</v>
      </c>
      <c r="R153" s="21">
        <f t="shared" si="55"/>
        <v>0</v>
      </c>
    </row>
    <row r="154">
      <c r="B154" s="13" t="s">
        <v>42</v>
      </c>
      <c r="E154" s="23">
        <f>F153</f>
        <v>0</v>
      </c>
      <c r="N154" s="8">
        <v>23.0</v>
      </c>
      <c r="O154" s="20">
        <v>46387.0</v>
      </c>
      <c r="P154" s="22" t="s">
        <v>18</v>
      </c>
      <c r="Q154" s="21">
        <v>0.0</v>
      </c>
      <c r="R154" s="21">
        <f t="shared" si="55"/>
        <v>0</v>
      </c>
    </row>
    <row r="155">
      <c r="I155" s="20"/>
      <c r="N155" s="13" t="s">
        <v>43</v>
      </c>
      <c r="Q155" s="23">
        <f>R154</f>
        <v>0</v>
      </c>
    </row>
  </sheetData>
  <mergeCells count="42">
    <mergeCell ref="A3:G19"/>
    <mergeCell ref="I3:L5"/>
    <mergeCell ref="N3:S4"/>
    <mergeCell ref="I6:J7"/>
    <mergeCell ref="N19:O19"/>
    <mergeCell ref="B24:R26"/>
    <mergeCell ref="B28:F29"/>
    <mergeCell ref="B57:D57"/>
    <mergeCell ref="B60:F61"/>
    <mergeCell ref="H60:L61"/>
    <mergeCell ref="N60:R61"/>
    <mergeCell ref="H28:L29"/>
    <mergeCell ref="N28:R29"/>
    <mergeCell ref="H54:J54"/>
    <mergeCell ref="K54:L54"/>
    <mergeCell ref="E57:F57"/>
    <mergeCell ref="N57:P57"/>
    <mergeCell ref="Q57:R57"/>
    <mergeCell ref="H88:J88"/>
    <mergeCell ref="K88:L88"/>
    <mergeCell ref="B89:D89"/>
    <mergeCell ref="E89:F89"/>
    <mergeCell ref="N89:P89"/>
    <mergeCell ref="Q89:R89"/>
    <mergeCell ref="B92:F93"/>
    <mergeCell ref="B122:D122"/>
    <mergeCell ref="B125:F126"/>
    <mergeCell ref="H125:L126"/>
    <mergeCell ref="N125:R126"/>
    <mergeCell ref="H153:J153"/>
    <mergeCell ref="K153:L153"/>
    <mergeCell ref="B154:D154"/>
    <mergeCell ref="E154:F154"/>
    <mergeCell ref="N155:P155"/>
    <mergeCell ref="Q155:R155"/>
    <mergeCell ref="H92:L93"/>
    <mergeCell ref="N92:R93"/>
    <mergeCell ref="H120:J120"/>
    <mergeCell ref="K120:L120"/>
    <mergeCell ref="N121:P121"/>
    <mergeCell ref="Q121:R121"/>
    <mergeCell ref="E122:F122"/>
  </mergeCells>
  <drawing r:id="rId1"/>
</worksheet>
</file>